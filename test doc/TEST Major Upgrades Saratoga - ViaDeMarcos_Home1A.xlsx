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vagkapi/My Drive/DesktopStuff/constructai-billing/construction-ai-billing/test doc/"/>
    </mc:Choice>
  </mc:AlternateContent>
  <xr:revisionPtr revIDLastSave="0" documentId="8_{6C9312B0-EA7D-D846-BF0F-3E462DFD6A28}" xr6:coauthVersionLast="47" xr6:coauthVersionMax="47" xr10:uidLastSave="{00000000-0000-0000-0000-000000000000}"/>
  <bookViews>
    <workbookView xWindow="1820" yWindow="740" windowWidth="26120" windowHeight="16960" xr2:uid="{00000000-000D-0000-FFFF-FFFF00000000}"/>
  </bookViews>
  <sheets>
    <sheet name="Sheet1" sheetId="1" r:id="rId1"/>
  </sheets>
  <definedNames>
    <definedName name="_xlnm.Print_Area" localSheetId="0">Sheet1!$A$1:$I$55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5" roundtripDataSignature="AMtx7mhky9NYyWcW+f7a53dr009kH+Gycw=="/>
    </ext>
  </extLst>
</workbook>
</file>

<file path=xl/calcChain.xml><?xml version="1.0" encoding="utf-8"?>
<calcChain xmlns="http://schemas.openxmlformats.org/spreadsheetml/2006/main">
  <c r="I23" i="1" l="1"/>
  <c r="I24" i="1"/>
  <c r="I46" i="1" l="1"/>
  <c r="I50" i="1" s="1"/>
</calcChain>
</file>

<file path=xl/sharedStrings.xml><?xml version="1.0" encoding="utf-8"?>
<sst xmlns="http://schemas.openxmlformats.org/spreadsheetml/2006/main" count="49" uniqueCount="49">
  <si>
    <t xml:space="preserve">14742 Via de Marcos, Saratoga Existing Home Fixes </t>
  </si>
  <si>
    <t xml:space="preserve">Subject:  </t>
  </si>
  <si>
    <t>Project Management</t>
  </si>
  <si>
    <t>Superintendent</t>
  </si>
  <si>
    <t>Contracts Administration</t>
  </si>
  <si>
    <t>Clean up  - Construction Cleanup Only)</t>
  </si>
  <si>
    <t>General Conditions and Insurance</t>
  </si>
  <si>
    <t>Altn Add - If others needed</t>
  </si>
  <si>
    <t xml:space="preserve">  Fee</t>
  </si>
  <si>
    <t>Subtotal</t>
  </si>
  <si>
    <t xml:space="preserve">   Special Inspection - NIC</t>
  </si>
  <si>
    <t>TOTAL</t>
  </si>
  <si>
    <t>(Excludes Permits, Special Inspects)</t>
  </si>
  <si>
    <t xml:space="preserve">We thank you again for the opportunity and invite any questions; comments or revisions that will help us improve this proposal for you.    </t>
  </si>
  <si>
    <t>Sincerely,</t>
  </si>
  <si>
    <t xml:space="preserve">Vagish Kapila </t>
  </si>
  <si>
    <t>408-410-6151;</t>
  </si>
  <si>
    <t xml:space="preserve">         Contractors’ Lic # 926663</t>
  </si>
  <si>
    <t>New Ceiling Work, All Doors Casing and Framing, Window System</t>
  </si>
  <si>
    <t>Demo of area above metal doors to ensure new walls can be framing and sheetrocked</t>
  </si>
  <si>
    <r>
      <rPr>
        <b/>
        <u/>
        <sz val="12"/>
        <color theme="1"/>
        <rFont val="Calibri"/>
        <family val="2"/>
      </rPr>
      <t xml:space="preserve">Note: </t>
    </r>
    <r>
      <rPr>
        <u/>
        <sz val="12"/>
        <color theme="1"/>
        <rFont val="Calibri"/>
        <family val="2"/>
      </rPr>
      <t xml:space="preserve"> </t>
    </r>
    <r>
      <rPr>
        <i/>
        <u/>
        <sz val="12"/>
        <color theme="1"/>
        <rFont val="Calibri"/>
        <family val="2"/>
      </rPr>
      <t xml:space="preserve">No Electrical, Plumbing, HVAC, Sawcutting or toilet/sink repair work included.  </t>
    </r>
  </si>
  <si>
    <t>Flooring -  Baseboard in the entire house.  Material by owner</t>
  </si>
  <si>
    <t>Glass (T under kitchen counter, Floor to ceiling in upstairs play room and standard high in room above daughter room)</t>
  </si>
  <si>
    <t>Demo of stones and motar in outside area.  Have to protect the metal andoized frame.  Also stones around ADU units</t>
  </si>
  <si>
    <t>Painting - Entire Home, inside only- Material by Owner</t>
  </si>
  <si>
    <t>Doors -  Casing and U Channel around all 32 doors to get door ready and completed</t>
  </si>
  <si>
    <t xml:space="preserve">Backing for sink in powder room next to kitchen, and frame and sheetrock area, reframe and float </t>
  </si>
  <si>
    <t>By Others</t>
  </si>
  <si>
    <t>Add to install ladder in kids play area with new Backing per vendor request in 4 areas</t>
  </si>
  <si>
    <t>Baseboard Painting -  Prime, caulk and paint all baseboard for the entire home</t>
  </si>
  <si>
    <t>Flooring -  We will not be able to get the floor fully level from previous installations.  Add to finish floor in gaps/unfinished in the entire home.  All material by owner.  Includes fixing floor in Mrs. Closet room (can only be put w/ partial material in staggered formation)</t>
  </si>
  <si>
    <t xml:space="preserve"> Dear Chris, Thiru and Renuka</t>
  </si>
  <si>
    <t>Note:  No work to be performed in the main sewage line.  No work in the garage.  No moisture testing included or special inspections</t>
  </si>
  <si>
    <t>Ceiling- level 5 finish above in many unfinished area per job walk 3/2 verbal walk</t>
  </si>
  <si>
    <t>It is an honor  to present you with a price proposal from Bains Development to Demo, Dispose and rebuild ceiling, sanding, painting and installing door casing. The work includes demo, and dump of the current area, and meet the new city standard and your property standards. All work scope is based on verbal scope and walk provided to us.  All material by owners. Please see the scope described below and pricing associated with each line item</t>
  </si>
  <si>
    <t>Doors -  Locking/Passthru Hardware.  Material by owner</t>
  </si>
  <si>
    <t>Minor Demo of ceiling includes demo of some parts in kitchen above soffit, demo of master bathroom steam room ceiling, demo of wall next to main enterance door</t>
  </si>
  <si>
    <t>Install new backing, for the powder room next to kitchen area</t>
  </si>
  <si>
    <t>Header work for few doors missing, above casing to be done to install and get door finished</t>
  </si>
  <si>
    <t xml:space="preserve">Rebuild Above Kitchen counter area entire ceiling, Rebuild around Main enterance door ceiling area complete.   Includes New framing to do align ceiling, new sheetrock, new taping and level 5 </t>
  </si>
  <si>
    <t>Windows -  Waterproof 5 windows per client request.  Remove current finishes around the windows to install waterproofing and refinish per new details</t>
  </si>
  <si>
    <t>Tile work.To just finish the main enternance tile, material by owner</t>
  </si>
  <si>
    <t xml:space="preserve">    Room next to Garage -  Float and retexture smooth finish arch above cabinets</t>
  </si>
  <si>
    <t xml:space="preserve">   Soffit and wall work in powder room, new walls and taping</t>
  </si>
  <si>
    <t xml:space="preserve">   Framing above Nano doors in both area</t>
  </si>
  <si>
    <t xml:space="preserve">   New corner bead in Ms. Walk in closet room, theather room floor steps only</t>
  </si>
  <si>
    <t xml:space="preserve">   Float walls in Gym/guest room, stairs area towards the gym room</t>
  </si>
  <si>
    <t xml:space="preserve">   Master bedroom -  Refloat the area in the middle that has broken edges and rebuild edges, new corners and refloating</t>
  </si>
  <si>
    <t xml:space="preserve">   Refloat many areas including stairs, rooms, ceiling, upstair bathrooms, vaccuum walls etc.  Almost all walls where refloating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</si>
</sst>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5" x14ac:knownFonts="1">
    <font>
      <sz val="12"/>
      <color theme="1"/>
      <name val="Calibri"/>
    </font>
    <font>
      <b/>
      <i/>
      <sz val="10"/>
      <color theme="1"/>
      <name val="Times New Roman"/>
      <family val="1"/>
    </font>
    <font>
      <sz val="11"/>
      <color rgb="FF000000"/>
      <name val="Calibri"/>
      <family val="2"/>
    </font>
    <font>
      <sz val="12"/>
      <color rgb="FF000000"/>
      <name val="Calibri"/>
      <family val="2"/>
    </font>
    <font>
      <b/>
      <sz val="12"/>
      <color rgb="FFFF0000"/>
      <name val="Calibri"/>
      <family val="2"/>
    </font>
    <font>
      <b/>
      <sz val="12"/>
      <color rgb="FF000000"/>
      <name val="Calibri"/>
      <family val="2"/>
    </font>
    <font>
      <sz val="12"/>
      <color rgb="FF4472C4"/>
      <name val="Calibri"/>
      <family val="2"/>
    </font>
    <font>
      <b/>
      <i/>
      <sz val="12"/>
      <color theme="1"/>
      <name val="Calibri"/>
      <family val="2"/>
    </font>
    <font>
      <b/>
      <u/>
      <sz val="12"/>
      <color theme="1"/>
      <name val="Calibri"/>
      <family val="2"/>
    </font>
    <font>
      <i/>
      <sz val="12"/>
      <color theme="1"/>
      <name val="Calibri"/>
      <family val="2"/>
    </font>
    <font>
      <sz val="11"/>
      <color theme="1"/>
      <name val="Calibri"/>
      <family val="2"/>
    </font>
    <font>
      <b/>
      <sz val="12"/>
      <color theme="1"/>
      <name val="Calibri"/>
      <family val="2"/>
    </font>
    <font>
      <u/>
      <sz val="12"/>
      <color theme="1"/>
      <name val="Calibri"/>
      <family val="2"/>
    </font>
    <font>
      <i/>
      <u/>
      <sz val="12"/>
      <color theme="1"/>
      <name val="Calibri"/>
      <family val="2"/>
    </font>
    <font>
      <sz val="12"/>
      <color theme="1"/>
      <name val="Calibri"/>
      <family val="2"/>
    </font>
  </fonts>
  <fills count="2">
    <fill>
      <patternFill patternType="none"/>
    </fill>
    <fill>
      <patternFill patternType="gray125"/>
    </fill>
  </fills>
  <borders count="2">
    <border>
      <left/>
      <right/>
      <top/>
      <bottom/>
      <diagonal/>
    </border>
    <border>
      <left/>
      <right/>
      <top style="double">
        <color rgb="FF000000"/>
      </top>
      <bottom style="double">
        <color rgb="FF000000"/>
      </bottom>
      <diagonal/>
    </border>
  </borders>
  <cellStyleXfs count="1">
    <xf numFmtId="0" fontId="0" fillId="0" borderId="0"/>
  </cellStyleXfs>
  <cellXfs count="3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15" fontId="4" fillId="0" borderId="0" xfId="0" applyNumberFormat="1" applyFont="1" applyAlignment="1">
      <alignment vertical="center"/>
    </xf>
    <xf numFmtId="0" fontId="3"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vertical="center"/>
    </xf>
    <xf numFmtId="0" fontId="0" fillId="0" borderId="0" xfId="0" applyAlignment="1">
      <alignment vertical="center"/>
    </xf>
    <xf numFmtId="8" fontId="0" fillId="0" borderId="0" xfId="0" applyNumberFormat="1" applyAlignment="1">
      <alignment vertical="center"/>
    </xf>
    <xf numFmtId="0" fontId="7" fillId="0" borderId="0" xfId="0" applyFont="1" applyAlignment="1">
      <alignment vertical="center" wrapText="1"/>
    </xf>
    <xf numFmtId="8" fontId="0" fillId="0" borderId="0" xfId="0" applyNumberFormat="1"/>
    <xf numFmtId="0" fontId="9" fillId="0" borderId="0" xfId="0" applyFont="1" applyAlignment="1">
      <alignment vertical="center"/>
    </xf>
    <xf numFmtId="6" fontId="9" fillId="0" borderId="0" xfId="0" applyNumberFormat="1" applyFont="1"/>
    <xf numFmtId="0" fontId="7" fillId="0" borderId="0" xfId="0" applyFont="1" applyAlignment="1">
      <alignment vertical="center"/>
    </xf>
    <xf numFmtId="8" fontId="9" fillId="0" borderId="0" xfId="0" applyNumberFormat="1" applyFont="1" applyAlignment="1">
      <alignment vertical="center"/>
    </xf>
    <xf numFmtId="0" fontId="11" fillId="0" borderId="1" xfId="0" applyFont="1" applyBorder="1" applyAlignment="1">
      <alignment vertical="center"/>
    </xf>
    <xf numFmtId="0" fontId="0" fillId="0" borderId="1" xfId="0" applyBorder="1" applyAlignment="1">
      <alignment vertical="center"/>
    </xf>
    <xf numFmtId="0" fontId="0" fillId="0" borderId="1" xfId="0" applyBorder="1"/>
    <xf numFmtId="6" fontId="0" fillId="0" borderId="1" xfId="0" applyNumberFormat="1" applyBorder="1" applyAlignment="1">
      <alignment vertical="center"/>
    </xf>
    <xf numFmtId="0" fontId="10" fillId="0" borderId="0" xfId="0" applyFont="1" applyAlignment="1">
      <alignment vertical="center"/>
    </xf>
    <xf numFmtId="0" fontId="10" fillId="0" borderId="0" xfId="0" applyFont="1" applyAlignment="1">
      <alignment horizontal="left" vertical="center"/>
    </xf>
    <xf numFmtId="8" fontId="14" fillId="0" borderId="0" xfId="0" applyNumberFormat="1" applyFont="1" applyAlignment="1">
      <alignment vertical="center"/>
    </xf>
    <xf numFmtId="0" fontId="14" fillId="0" borderId="0" xfId="0" applyFont="1" applyAlignment="1">
      <alignment vertical="center"/>
    </xf>
    <xf numFmtId="0" fontId="8" fillId="0" borderId="0" xfId="0" applyFont="1" applyAlignment="1">
      <alignment vertical="center"/>
    </xf>
    <xf numFmtId="8" fontId="14" fillId="0" borderId="0" xfId="0" applyNumberFormat="1" applyFont="1" applyAlignment="1">
      <alignment horizontal="right" vertical="center"/>
    </xf>
    <xf numFmtId="0" fontId="14" fillId="0" borderId="0" xfId="0" applyFont="1" applyAlignment="1">
      <alignment vertical="center" wrapText="1"/>
    </xf>
    <xf numFmtId="0" fontId="0" fillId="0" borderId="0" xfId="0" applyAlignment="1">
      <alignment wrapText="1"/>
    </xf>
    <xf numFmtId="0" fontId="3" fillId="0" borderId="0" xfId="0" applyFont="1" applyAlignment="1">
      <alignment horizontal="left" vertical="center" wrapText="1"/>
    </xf>
    <xf numFmtId="0" fontId="8" fillId="0" borderId="0" xfId="0" applyFont="1" applyAlignment="1">
      <alignment wrapText="1"/>
    </xf>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771071</xdr:colOff>
      <xdr:row>0</xdr:row>
      <xdr:rowOff>18143</xdr:rowOff>
    </xdr:from>
    <xdr:ext cx="2451100" cy="666750"/>
    <xdr:pic>
      <xdr:nvPicPr>
        <xdr:cNvPr id="4" name="image1.png">
          <a:extLst>
            <a:ext uri="{FF2B5EF4-FFF2-40B4-BE49-F238E27FC236}">
              <a16:creationId xmlns:a16="http://schemas.microsoft.com/office/drawing/2014/main" id="{2189DC4A-2BC7-3546-BCE8-A99C4C86770F}"/>
            </a:ext>
          </a:extLst>
        </xdr:cNvPr>
        <xdr:cNvPicPr preferRelativeResize="0"/>
      </xdr:nvPicPr>
      <xdr:blipFill>
        <a:blip xmlns:r="http://schemas.openxmlformats.org/officeDocument/2006/relationships" r:embed="rId1" cstate="print"/>
        <a:stretch>
          <a:fillRect/>
        </a:stretch>
      </xdr:blipFill>
      <xdr:spPr>
        <a:xfrm>
          <a:off x="7393214" y="18143"/>
          <a:ext cx="2451100" cy="6667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19"/>
  <sheetViews>
    <sheetView tabSelected="1" zoomScale="90" zoomScaleNormal="90" workbookViewId="0">
      <selection activeCell="B13" sqref="B13:H13"/>
    </sheetView>
  </sheetViews>
  <sheetFormatPr baseColWidth="10" defaultColWidth="11.1640625" defaultRowHeight="15" customHeight="1" x14ac:dyDescent="0.2"/>
  <cols>
    <col min="1" max="1" width="10.83203125" customWidth="1"/>
    <col min="2" max="2" width="34.1640625" bestFit="1" customWidth="1"/>
    <col min="3" max="7" width="10.5" customWidth="1"/>
    <col min="8" max="8" width="28" customWidth="1"/>
    <col min="9" max="9" width="13.83203125" customWidth="1"/>
    <col min="10" max="15" width="10.5" customWidth="1"/>
  </cols>
  <sheetData>
    <row r="1" spans="1:9" ht="15.75" customHeight="1" x14ac:dyDescent="0.2">
      <c r="A1" s="1" t="s">
        <v>17</v>
      </c>
    </row>
    <row r="2" spans="1:9" ht="15.75" customHeight="1" x14ac:dyDescent="0.2">
      <c r="A2" s="2"/>
    </row>
    <row r="3" spans="1:9" ht="15.75" customHeight="1" x14ac:dyDescent="0.2"/>
    <row r="4" spans="1:9" ht="15.75" customHeight="1" x14ac:dyDescent="0.2"/>
    <row r="5" spans="1:9" ht="15.75" customHeight="1" x14ac:dyDescent="0.2">
      <c r="A5" s="3" t="s">
        <v>0</v>
      </c>
      <c r="I5" s="4">
        <v>44621</v>
      </c>
    </row>
    <row r="6" spans="1:9" ht="3.75" customHeight="1" x14ac:dyDescent="0.2">
      <c r="A6" s="5"/>
    </row>
    <row r="7" spans="1:9" ht="15.75" customHeight="1" x14ac:dyDescent="0.2">
      <c r="A7" s="6" t="s">
        <v>1</v>
      </c>
      <c r="B7" t="s">
        <v>18</v>
      </c>
    </row>
    <row r="8" spans="1:9" ht="3.75" customHeight="1" x14ac:dyDescent="0.2">
      <c r="A8" s="3"/>
    </row>
    <row r="9" spans="1:9" ht="15.75" customHeight="1" x14ac:dyDescent="0.2">
      <c r="A9" s="7" t="s">
        <v>31</v>
      </c>
    </row>
    <row r="10" spans="1:9" ht="4.5" customHeight="1" x14ac:dyDescent="0.2">
      <c r="A10" s="5"/>
    </row>
    <row r="11" spans="1:9" ht="68" customHeight="1" x14ac:dyDescent="0.2">
      <c r="A11" s="28" t="s">
        <v>34</v>
      </c>
      <c r="B11" s="27"/>
      <c r="C11" s="27"/>
      <c r="D11" s="27"/>
      <c r="E11" s="27"/>
      <c r="F11" s="27"/>
      <c r="G11" s="27"/>
      <c r="H11" s="27"/>
      <c r="I11" s="27"/>
    </row>
    <row r="12" spans="1:9" ht="15.75" customHeight="1" x14ac:dyDescent="0.2">
      <c r="A12" s="8">
        <v>11300</v>
      </c>
      <c r="B12" s="30" t="s">
        <v>2</v>
      </c>
      <c r="C12" s="30"/>
      <c r="D12" s="30"/>
      <c r="E12" s="30"/>
      <c r="F12" s="30"/>
      <c r="G12" s="30"/>
      <c r="H12" s="30"/>
      <c r="I12" s="9">
        <v>6003</v>
      </c>
    </row>
    <row r="13" spans="1:9" ht="15.75" customHeight="1" x14ac:dyDescent="0.2">
      <c r="A13" s="8">
        <v>11350</v>
      </c>
      <c r="B13" s="30" t="s">
        <v>3</v>
      </c>
      <c r="C13" s="30"/>
      <c r="D13" s="30"/>
      <c r="E13" s="30"/>
      <c r="F13" s="30"/>
      <c r="G13" s="30"/>
      <c r="H13" s="30"/>
      <c r="I13" s="9">
        <v>5980</v>
      </c>
    </row>
    <row r="14" spans="1:9" ht="15.75" customHeight="1" x14ac:dyDescent="0.2">
      <c r="A14" s="8">
        <v>11400</v>
      </c>
      <c r="B14" s="27" t="s">
        <v>4</v>
      </c>
      <c r="C14" s="27"/>
      <c r="D14" s="27"/>
      <c r="E14" s="27"/>
      <c r="F14" s="27"/>
      <c r="G14" s="27"/>
      <c r="H14" s="27"/>
      <c r="I14" s="9">
        <v>3880</v>
      </c>
    </row>
    <row r="15" spans="1:9" ht="15.75" customHeight="1" x14ac:dyDescent="0.2">
      <c r="A15" s="8">
        <v>17100</v>
      </c>
      <c r="B15" s="31" t="s">
        <v>5</v>
      </c>
      <c r="C15" s="27"/>
      <c r="D15" s="27"/>
      <c r="E15" s="27"/>
      <c r="F15" s="27"/>
      <c r="G15" s="27"/>
      <c r="H15" s="27"/>
      <c r="I15" s="9">
        <v>2897</v>
      </c>
    </row>
    <row r="16" spans="1:9" ht="36" customHeight="1" x14ac:dyDescent="0.2">
      <c r="A16" s="8">
        <v>23000</v>
      </c>
      <c r="B16" s="31" t="s">
        <v>36</v>
      </c>
      <c r="C16" s="27"/>
      <c r="D16" s="27"/>
      <c r="E16" s="27"/>
      <c r="F16" s="27"/>
      <c r="G16" s="27"/>
      <c r="H16" s="27"/>
      <c r="I16" s="9">
        <v>6018</v>
      </c>
    </row>
    <row r="17" spans="1:9" ht="15.75" customHeight="1" x14ac:dyDescent="0.2">
      <c r="A17" s="8">
        <v>23000</v>
      </c>
      <c r="B17" s="26" t="s">
        <v>19</v>
      </c>
      <c r="C17" s="27"/>
      <c r="D17" s="27"/>
      <c r="E17" s="27"/>
      <c r="F17" s="27"/>
      <c r="G17" s="27"/>
      <c r="H17" s="27"/>
      <c r="I17" s="9">
        <v>3790</v>
      </c>
    </row>
    <row r="18" spans="1:9" ht="15.75" customHeight="1" x14ac:dyDescent="0.2">
      <c r="A18" s="8">
        <v>23000</v>
      </c>
      <c r="B18" s="26" t="s">
        <v>23</v>
      </c>
      <c r="C18" s="27"/>
      <c r="D18" s="27"/>
      <c r="E18" s="27"/>
      <c r="F18" s="27"/>
      <c r="G18" s="27"/>
      <c r="H18" s="27"/>
      <c r="I18" s="9">
        <v>917</v>
      </c>
    </row>
    <row r="19" spans="1:9" ht="15.75" customHeight="1" x14ac:dyDescent="0.2">
      <c r="A19" s="8">
        <v>41000</v>
      </c>
      <c r="B19" s="26" t="s">
        <v>24</v>
      </c>
      <c r="C19" s="31"/>
      <c r="D19" s="31"/>
      <c r="E19" s="31"/>
      <c r="F19" s="31"/>
      <c r="G19" s="31"/>
      <c r="H19" s="31"/>
      <c r="I19" s="9">
        <v>18913</v>
      </c>
    </row>
    <row r="20" spans="1:9" ht="15.75" customHeight="1" x14ac:dyDescent="0.2">
      <c r="A20" s="8">
        <v>54000</v>
      </c>
      <c r="B20" s="26" t="s">
        <v>28</v>
      </c>
      <c r="C20" s="27"/>
      <c r="D20" s="27"/>
      <c r="E20" s="27"/>
      <c r="F20" s="27"/>
      <c r="G20" s="27"/>
      <c r="H20" s="27"/>
      <c r="I20" s="9">
        <v>2980</v>
      </c>
    </row>
    <row r="21" spans="1:9" ht="36" customHeight="1" x14ac:dyDescent="0.2">
      <c r="A21" s="8">
        <v>54000</v>
      </c>
      <c r="B21" s="26" t="s">
        <v>39</v>
      </c>
      <c r="C21" s="27"/>
      <c r="D21" s="27"/>
      <c r="E21" s="27"/>
      <c r="F21" s="27"/>
      <c r="G21" s="27"/>
      <c r="H21" s="27"/>
      <c r="I21" s="9">
        <v>29880</v>
      </c>
    </row>
    <row r="22" spans="1:9" ht="34" customHeight="1" x14ac:dyDescent="0.2">
      <c r="A22" s="8">
        <v>81000</v>
      </c>
      <c r="B22" s="26" t="s">
        <v>40</v>
      </c>
      <c r="C22" s="27"/>
      <c r="D22" s="27"/>
      <c r="E22" s="27"/>
      <c r="F22" s="27"/>
      <c r="G22" s="27"/>
      <c r="H22" s="27"/>
      <c r="I22" s="22" t="s">
        <v>27</v>
      </c>
    </row>
    <row r="23" spans="1:9" ht="21" customHeight="1" x14ac:dyDescent="0.2">
      <c r="A23" s="8">
        <v>82000</v>
      </c>
      <c r="B23" s="26" t="s">
        <v>25</v>
      </c>
      <c r="C23" s="27"/>
      <c r="D23" s="27"/>
      <c r="E23" s="27"/>
      <c r="F23" s="27"/>
      <c r="G23" s="27"/>
      <c r="H23" s="27"/>
      <c r="I23" s="22">
        <f>32*451</f>
        <v>14432</v>
      </c>
    </row>
    <row r="24" spans="1:9" ht="21" customHeight="1" x14ac:dyDescent="0.2">
      <c r="A24" s="8">
        <v>82000</v>
      </c>
      <c r="B24" s="26" t="s">
        <v>35</v>
      </c>
      <c r="C24" s="27"/>
      <c r="D24" s="27"/>
      <c r="E24" s="27"/>
      <c r="F24" s="27"/>
      <c r="G24" s="27"/>
      <c r="H24" s="27"/>
      <c r="I24" s="22">
        <f>32*271</f>
        <v>8672</v>
      </c>
    </row>
    <row r="25" spans="1:9" ht="21" customHeight="1" x14ac:dyDescent="0.2">
      <c r="A25" s="8">
        <v>82000</v>
      </c>
      <c r="B25" s="26" t="s">
        <v>38</v>
      </c>
      <c r="C25" s="26"/>
      <c r="D25" s="26"/>
      <c r="E25" s="26"/>
      <c r="F25" s="26"/>
      <c r="G25" s="26"/>
      <c r="H25" s="26"/>
      <c r="I25" s="22">
        <v>7610</v>
      </c>
    </row>
    <row r="26" spans="1:9" ht="34" customHeight="1" x14ac:dyDescent="0.2">
      <c r="A26" s="8">
        <v>88000</v>
      </c>
      <c r="B26" s="26" t="s">
        <v>30</v>
      </c>
      <c r="C26" s="26"/>
      <c r="D26" s="26"/>
      <c r="E26" s="26"/>
      <c r="F26" s="26"/>
      <c r="G26" s="26"/>
      <c r="H26" s="26"/>
      <c r="I26" s="22">
        <v>28707</v>
      </c>
    </row>
    <row r="27" spans="1:9" ht="22" customHeight="1" x14ac:dyDescent="0.2">
      <c r="A27" s="8">
        <v>88000</v>
      </c>
      <c r="B27" s="26" t="s">
        <v>21</v>
      </c>
      <c r="C27" s="27"/>
      <c r="D27" s="27"/>
      <c r="E27" s="27"/>
      <c r="F27" s="27"/>
      <c r="G27" s="27"/>
      <c r="H27" s="27"/>
      <c r="I27" s="22">
        <v>17890</v>
      </c>
    </row>
    <row r="28" spans="1:9" ht="20" customHeight="1" x14ac:dyDescent="0.2">
      <c r="A28" s="8">
        <v>88200</v>
      </c>
      <c r="B28" s="26" t="s">
        <v>29</v>
      </c>
      <c r="C28" s="27"/>
      <c r="D28" s="27"/>
      <c r="E28" s="27"/>
      <c r="F28" s="27"/>
      <c r="G28" s="27"/>
      <c r="H28" s="27"/>
      <c r="I28" s="22">
        <v>8742</v>
      </c>
    </row>
    <row r="29" spans="1:9" ht="15.75" customHeight="1" x14ac:dyDescent="0.2">
      <c r="A29" s="8">
        <v>95000</v>
      </c>
      <c r="B29" s="26" t="s">
        <v>37</v>
      </c>
      <c r="C29" s="27"/>
      <c r="D29" s="27"/>
      <c r="E29" s="27"/>
      <c r="F29" s="27"/>
      <c r="G29" s="27"/>
      <c r="H29" s="27"/>
      <c r="I29" s="9">
        <v>1642</v>
      </c>
    </row>
    <row r="30" spans="1:9" ht="15.75" customHeight="1" x14ac:dyDescent="0.2">
      <c r="A30" s="8">
        <v>95000</v>
      </c>
      <c r="B30" s="26" t="s">
        <v>33</v>
      </c>
      <c r="C30" s="27"/>
      <c r="D30" s="27"/>
      <c r="E30" s="27"/>
      <c r="F30" s="27"/>
      <c r="G30" s="27"/>
      <c r="H30" s="27"/>
      <c r="I30" s="9">
        <v>39690</v>
      </c>
    </row>
    <row r="31" spans="1:9" ht="15.75" customHeight="1" x14ac:dyDescent="0.2">
      <c r="A31" s="8"/>
      <c r="B31" s="26" t="s">
        <v>42</v>
      </c>
      <c r="C31" s="27"/>
      <c r="D31" s="27"/>
      <c r="E31" s="27"/>
      <c r="F31" s="27"/>
      <c r="G31" s="27"/>
      <c r="H31" s="27"/>
      <c r="I31" s="9"/>
    </row>
    <row r="32" spans="1:9" ht="15.75" customHeight="1" x14ac:dyDescent="0.2">
      <c r="A32" s="8"/>
      <c r="B32" s="26" t="s">
        <v>43</v>
      </c>
      <c r="C32" s="27"/>
      <c r="D32" s="27"/>
      <c r="E32" s="27"/>
      <c r="F32" s="27"/>
      <c r="G32" s="27"/>
      <c r="H32" s="27"/>
      <c r="I32" s="9"/>
    </row>
    <row r="33" spans="1:9" ht="15.75" customHeight="1" x14ac:dyDescent="0.2">
      <c r="A33" s="8"/>
      <c r="B33" s="26" t="s">
        <v>44</v>
      </c>
      <c r="C33" s="27"/>
      <c r="D33" s="27"/>
      <c r="E33" s="27"/>
      <c r="F33" s="27"/>
      <c r="G33" s="27"/>
      <c r="H33" s="27"/>
      <c r="I33" s="9"/>
    </row>
    <row r="34" spans="1:9" ht="15.75" customHeight="1" x14ac:dyDescent="0.2">
      <c r="A34" s="8"/>
      <c r="B34" s="26" t="s">
        <v>45</v>
      </c>
      <c r="C34" s="27"/>
      <c r="D34" s="27"/>
      <c r="E34" s="27"/>
      <c r="F34" s="27"/>
      <c r="G34" s="27"/>
      <c r="H34" s="27"/>
      <c r="I34" s="9"/>
    </row>
    <row r="35" spans="1:9" ht="15.75" customHeight="1" x14ac:dyDescent="0.2">
      <c r="A35" s="8"/>
      <c r="B35" s="26" t="s">
        <v>46</v>
      </c>
      <c r="C35" s="27"/>
      <c r="D35" s="27"/>
      <c r="E35" s="27"/>
      <c r="F35" s="27"/>
      <c r="G35" s="27"/>
      <c r="H35" s="27"/>
      <c r="I35" s="9"/>
    </row>
    <row r="36" spans="1:9" ht="15.75" customHeight="1" x14ac:dyDescent="0.2">
      <c r="A36" s="8"/>
      <c r="B36" s="26" t="s">
        <v>47</v>
      </c>
      <c r="C36" s="27"/>
      <c r="D36" s="27"/>
      <c r="E36" s="27"/>
      <c r="F36" s="27"/>
      <c r="G36" s="27"/>
      <c r="H36" s="27"/>
      <c r="I36" s="9"/>
    </row>
    <row r="37" spans="1:9" ht="15.75" customHeight="1" x14ac:dyDescent="0.2">
      <c r="A37" s="8"/>
      <c r="B37" s="26" t="s">
        <v>48</v>
      </c>
      <c r="C37" s="27"/>
      <c r="D37" s="27"/>
      <c r="E37" s="27"/>
      <c r="F37" s="27"/>
      <c r="G37" s="27"/>
      <c r="H37" s="27"/>
      <c r="I37" s="9"/>
    </row>
    <row r="38" spans="1:9" ht="15.75" customHeight="1" x14ac:dyDescent="0.2">
      <c r="A38" s="8">
        <v>95000</v>
      </c>
      <c r="B38" s="26" t="s">
        <v>26</v>
      </c>
      <c r="C38" s="27"/>
      <c r="D38" s="27"/>
      <c r="E38" s="27"/>
      <c r="F38" s="27"/>
      <c r="G38" s="27"/>
      <c r="H38" s="27"/>
      <c r="I38" s="9">
        <v>3802</v>
      </c>
    </row>
    <row r="39" spans="1:9" ht="15.75" customHeight="1" x14ac:dyDescent="0.2">
      <c r="A39" s="8">
        <v>95600</v>
      </c>
      <c r="B39" s="23" t="s">
        <v>41</v>
      </c>
      <c r="I39" s="25">
        <v>6500</v>
      </c>
    </row>
    <row r="40" spans="1:9" ht="15.75" customHeight="1" x14ac:dyDescent="0.2">
      <c r="A40" s="8">
        <v>97000</v>
      </c>
      <c r="B40" s="23" t="s">
        <v>22</v>
      </c>
      <c r="I40" s="9">
        <v>27880</v>
      </c>
    </row>
    <row r="41" spans="1:9" ht="18.75" customHeight="1" x14ac:dyDescent="0.2">
      <c r="A41" s="8">
        <v>17750</v>
      </c>
      <c r="B41" s="27" t="s">
        <v>6</v>
      </c>
      <c r="C41" s="30"/>
      <c r="D41" s="30"/>
      <c r="E41" s="30"/>
      <c r="F41" s="30"/>
      <c r="G41" s="30"/>
      <c r="H41" s="30"/>
      <c r="I41" s="9">
        <v>9077</v>
      </c>
    </row>
    <row r="42" spans="1:9" ht="33.75" customHeight="1" x14ac:dyDescent="0.2">
      <c r="A42" s="10"/>
      <c r="B42" s="29" t="s">
        <v>7</v>
      </c>
      <c r="C42" s="30"/>
      <c r="D42" s="30"/>
      <c r="E42" s="30"/>
      <c r="F42" s="30"/>
      <c r="G42" s="30"/>
      <c r="H42" s="30"/>
      <c r="I42" s="11"/>
    </row>
    <row r="43" spans="1:9" ht="15.75" customHeight="1" x14ac:dyDescent="0.2">
      <c r="A43" s="24" t="s">
        <v>20</v>
      </c>
      <c r="I43" s="11"/>
    </row>
    <row r="44" spans="1:9" ht="15.75" customHeight="1" x14ac:dyDescent="0.2">
      <c r="A44" s="12">
        <v>17755</v>
      </c>
      <c r="B44" s="8" t="s">
        <v>8</v>
      </c>
      <c r="I44" s="13">
        <v>12331</v>
      </c>
    </row>
    <row r="45" spans="1:9" ht="15.75" customHeight="1" x14ac:dyDescent="0.2">
      <c r="A45" s="12"/>
      <c r="B45" s="8"/>
      <c r="I45" s="13"/>
    </row>
    <row r="46" spans="1:9" ht="15.75" customHeight="1" x14ac:dyDescent="0.2">
      <c r="A46" s="14" t="s">
        <v>9</v>
      </c>
      <c r="I46" s="11">
        <f>SUM(I12:I45)</f>
        <v>268233</v>
      </c>
    </row>
    <row r="47" spans="1:9" ht="15.75" customHeight="1" x14ac:dyDescent="0.2">
      <c r="A47" s="12"/>
      <c r="I47" s="15"/>
    </row>
    <row r="48" spans="1:9" ht="15.75" customHeight="1" x14ac:dyDescent="0.2">
      <c r="A48" s="8">
        <v>14700</v>
      </c>
      <c r="B48" s="8" t="s">
        <v>10</v>
      </c>
      <c r="I48" s="11"/>
    </row>
    <row r="49" spans="1:9" ht="15.75" customHeight="1" x14ac:dyDescent="0.2">
      <c r="A49" s="8"/>
      <c r="I49" s="11"/>
    </row>
    <row r="50" spans="1:9" ht="15.75" customHeight="1" x14ac:dyDescent="0.2">
      <c r="A50" s="16" t="s">
        <v>11</v>
      </c>
      <c r="B50" s="17" t="s">
        <v>12</v>
      </c>
      <c r="C50" s="18"/>
      <c r="D50" s="18"/>
      <c r="E50" s="18"/>
      <c r="F50" s="18"/>
      <c r="G50" s="18"/>
      <c r="H50" s="18"/>
      <c r="I50" s="19">
        <f>SUM(I46:I49)</f>
        <v>268233</v>
      </c>
    </row>
    <row r="51" spans="1:9" ht="15.75" customHeight="1" x14ac:dyDescent="0.2">
      <c r="A51" s="20" t="s">
        <v>32</v>
      </c>
    </row>
    <row r="52" spans="1:9" ht="15.75" customHeight="1" x14ac:dyDescent="0.2">
      <c r="A52" s="20" t="s">
        <v>13</v>
      </c>
    </row>
    <row r="53" spans="1:9" ht="15.75" customHeight="1" x14ac:dyDescent="0.2">
      <c r="A53" s="21"/>
    </row>
    <row r="54" spans="1:9" ht="15.75" customHeight="1" x14ac:dyDescent="0.2">
      <c r="A54" s="21" t="s">
        <v>14</v>
      </c>
      <c r="B54" s="20" t="s">
        <v>15</v>
      </c>
    </row>
    <row r="55" spans="1:9" ht="15.75" customHeight="1" x14ac:dyDescent="0.2">
      <c r="A55" s="20"/>
      <c r="B55" s="20" t="s">
        <v>16</v>
      </c>
    </row>
    <row r="56" spans="1:9" ht="15.75" customHeight="1" x14ac:dyDescent="0.2"/>
    <row r="57" spans="1:9" ht="15.75" customHeight="1" x14ac:dyDescent="0.2"/>
    <row r="58" spans="1:9" ht="15.75" customHeight="1" x14ac:dyDescent="0.2"/>
    <row r="59" spans="1:9" ht="15.75" customHeight="1" x14ac:dyDescent="0.2"/>
    <row r="60" spans="1:9" ht="15.75" customHeight="1" x14ac:dyDescent="0.2"/>
    <row r="61" spans="1:9" ht="15.75" customHeight="1" x14ac:dyDescent="0.2"/>
    <row r="62" spans="1:9" ht="15.75" customHeight="1" x14ac:dyDescent="0.2"/>
    <row r="63" spans="1:9" ht="15.75" customHeight="1" x14ac:dyDescent="0.2"/>
    <row r="64" spans="1: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sheetData>
  <mergeCells count="30">
    <mergeCell ref="A11:I11"/>
    <mergeCell ref="B42:H42"/>
    <mergeCell ref="B12:H12"/>
    <mergeCell ref="B13:H13"/>
    <mergeCell ref="B14:H14"/>
    <mergeCell ref="B15:H15"/>
    <mergeCell ref="B16:H16"/>
    <mergeCell ref="B30:H30"/>
    <mergeCell ref="B22:H22"/>
    <mergeCell ref="B29:H29"/>
    <mergeCell ref="B38:H38"/>
    <mergeCell ref="B17:H17"/>
    <mergeCell ref="B20:H20"/>
    <mergeCell ref="B21:H21"/>
    <mergeCell ref="B19:H19"/>
    <mergeCell ref="B41:H41"/>
    <mergeCell ref="B37:H37"/>
    <mergeCell ref="B25:H25"/>
    <mergeCell ref="B27:H27"/>
    <mergeCell ref="B18:H18"/>
    <mergeCell ref="B26:H26"/>
    <mergeCell ref="B36:H36"/>
    <mergeCell ref="B28:H28"/>
    <mergeCell ref="B23:H23"/>
    <mergeCell ref="B24:H24"/>
    <mergeCell ref="B31:H31"/>
    <mergeCell ref="B35:H35"/>
    <mergeCell ref="B32:H32"/>
    <mergeCell ref="B33:H33"/>
    <mergeCell ref="B34:H34"/>
  </mergeCells>
  <pageMargins left="0.7" right="0.7" top="0.75" bottom="0.75" header="0" footer="0"/>
  <pageSetup scale="61" orientation="portrait"/>
  <rowBreaks count="1" manualBreakCount="1">
    <brk id="55" man="1"/>
  </rowBreak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Vagish Kapila</cp:lastModifiedBy>
  <cp:lastPrinted>2022-03-04T02:43:11Z</cp:lastPrinted>
  <dcterms:created xsi:type="dcterms:W3CDTF">2017-06-21T16:24:26Z</dcterms:created>
  <dcterms:modified xsi:type="dcterms:W3CDTF">2026-03-20T00:18:08Z</dcterms:modified>
</cp:coreProperties>
</file>