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rohitsharma/Library/CloudStorage/GoogleDrive-yajeesharma@gmail.com/.shortcut-targets-by-id/1PFMHKEyPEFC4uLJUb5fvBIffon-lhaEl/Sentio/Jobs 2022/BainsDevelop Commercial/3011-JayImmigrationLawyer 377 S Daniel Way/Accounting/Invoices/"/>
    </mc:Choice>
  </mc:AlternateContent>
  <xr:revisionPtr revIDLastSave="0" documentId="13_ncr:1_{74802C35-C5E4-3147-9FCF-E514CF9EFB27}" xr6:coauthVersionLast="47" xr6:coauthVersionMax="47" xr10:uidLastSave="{00000000-0000-0000-0000-000000000000}"/>
  <bookViews>
    <workbookView xWindow="0" yWindow="500" windowWidth="23740" windowHeight="16440" activeTab="1" xr2:uid="{00000000-000D-0000-FFFF-FFFF00000000}"/>
  </bookViews>
  <sheets>
    <sheet name="Application" sheetId="2" r:id="rId1"/>
    <sheet name="Continuation Sheet" sheetId="1" r:id="rId2"/>
  </sheets>
  <definedNames>
    <definedName name="_Regression_Int" localSheetId="0" hidden="1">1</definedName>
    <definedName name="_Regression_Int" localSheetId="1" hidden="1">1</definedName>
    <definedName name="GRAND">'Continuation Sheet'!#REF!</definedName>
    <definedName name="_xlnm.Print_Area" localSheetId="0">Application!$A$1:$N$56</definedName>
    <definedName name="_xlnm.Print_Area" localSheetId="1">'Continuation Sheet'!$A$1:$K$44</definedName>
    <definedName name="Print_Area_MI" localSheetId="1">'Continuation Sheet'!$B$13:$K$44</definedName>
    <definedName name="Print_Area_MI">Application!$A$1:$N$55</definedName>
    <definedName name="_xlnm.Print_Titles" localSheetId="1">'Continuation Sheet'!$1:$12</definedName>
    <definedName name="Print_Titles_MI" localSheetId="1">'Continuation Sheet'!$1:$12</definedName>
    <definedName name="Print_Titles_MI">Application!$68:$375,Application!$B:$DE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2" l="1"/>
  <c r="D47" i="2"/>
  <c r="D51" i="2" s="1"/>
  <c r="J32" i="1"/>
  <c r="J33" i="1"/>
  <c r="J34" i="1"/>
  <c r="J35" i="1"/>
  <c r="J36" i="1"/>
  <c r="J37" i="1"/>
  <c r="J38" i="1"/>
  <c r="J39" i="1"/>
  <c r="K37" i="1"/>
  <c r="K38" i="1"/>
  <c r="K39" i="1"/>
  <c r="I39" i="1"/>
  <c r="H39" i="1"/>
  <c r="F39" i="1"/>
  <c r="E26" i="1"/>
  <c r="E38" i="1"/>
  <c r="E37" i="1"/>
  <c r="H37" i="1" s="1"/>
  <c r="E31" i="1"/>
  <c r="E30" i="1"/>
  <c r="E29" i="1"/>
  <c r="E27" i="1"/>
  <c r="E25" i="1"/>
  <c r="E22" i="1"/>
  <c r="E17" i="1"/>
  <c r="E15" i="1"/>
  <c r="E36" i="1"/>
  <c r="H36" i="1" s="1"/>
  <c r="E35" i="1"/>
  <c r="H35" i="1" s="1"/>
  <c r="E34" i="1"/>
  <c r="H34" i="1" s="1"/>
  <c r="E33" i="1"/>
  <c r="H33" i="1" s="1"/>
  <c r="E32" i="1"/>
  <c r="E24" i="1"/>
  <c r="E21" i="1"/>
  <c r="E20" i="1"/>
  <c r="E16" i="1"/>
  <c r="E13" i="1"/>
  <c r="D42" i="1"/>
  <c r="I34" i="1" l="1"/>
  <c r="I35" i="1"/>
  <c r="I33" i="1"/>
  <c r="I37" i="1"/>
  <c r="H38" i="1"/>
  <c r="I36" i="1"/>
  <c r="F42" i="1"/>
  <c r="I38" i="1" l="1"/>
  <c r="K36" i="1"/>
  <c r="H32" i="1" l="1"/>
  <c r="K35" i="1" l="1"/>
  <c r="K32" i="1"/>
  <c r="I32" i="1"/>
  <c r="K33" i="1"/>
  <c r="K34" i="1"/>
  <c r="H24" i="1"/>
  <c r="H22" i="1"/>
  <c r="E42" i="1"/>
  <c r="H28" i="1"/>
  <c r="H26" i="1"/>
  <c r="H23" i="1"/>
  <c r="H18" i="1"/>
  <c r="H19" i="1"/>
  <c r="H14" i="1" l="1"/>
  <c r="K18" i="1"/>
  <c r="K19" i="1"/>
  <c r="K22" i="1"/>
  <c r="K23" i="1"/>
  <c r="K24" i="1"/>
  <c r="K26" i="1"/>
  <c r="K28" i="1"/>
  <c r="K14" i="1" l="1"/>
  <c r="H29" i="1"/>
  <c r="K29" i="1" s="1"/>
  <c r="H30" i="1"/>
  <c r="H25" i="1"/>
  <c r="J26" i="1"/>
  <c r="H27" i="1"/>
  <c r="J28" i="1"/>
  <c r="I30" i="1" l="1"/>
  <c r="K30" i="1"/>
  <c r="J27" i="1"/>
  <c r="K27" i="1"/>
  <c r="I25" i="1"/>
  <c r="K25" i="1"/>
  <c r="J30" i="1"/>
  <c r="J25" i="1"/>
  <c r="I28" i="1"/>
  <c r="I27" i="1"/>
  <c r="I26" i="1"/>
  <c r="I41" i="1"/>
  <c r="H15" i="1"/>
  <c r="H16" i="1"/>
  <c r="J19" i="1"/>
  <c r="H20" i="1"/>
  <c r="J23" i="1"/>
  <c r="I24" i="1"/>
  <c r="H17" i="1"/>
  <c r="K17" i="1" s="1"/>
  <c r="H21" i="1"/>
  <c r="K21" i="1" s="1"/>
  <c r="H31" i="1"/>
  <c r="K31" i="1" s="1"/>
  <c r="F41" i="1"/>
  <c r="I20" i="1" l="1"/>
  <c r="K20" i="1"/>
  <c r="I16" i="1"/>
  <c r="K16" i="1"/>
  <c r="J15" i="1"/>
  <c r="K15" i="1"/>
  <c r="I19" i="1"/>
  <c r="I23" i="1"/>
  <c r="I15" i="1"/>
  <c r="I21" i="1"/>
  <c r="J21" i="1"/>
  <c r="I29" i="1"/>
  <c r="J29" i="1"/>
  <c r="I17" i="1"/>
  <c r="J17" i="1"/>
  <c r="J31" i="1"/>
  <c r="I31" i="1"/>
  <c r="J22" i="1"/>
  <c r="I22" i="1"/>
  <c r="J18" i="1"/>
  <c r="I18" i="1"/>
  <c r="J14" i="1"/>
  <c r="I14" i="1"/>
  <c r="J16" i="1"/>
  <c r="J24" i="1"/>
  <c r="J20" i="1"/>
  <c r="G42" i="1"/>
  <c r="H13" i="1" l="1"/>
  <c r="H42" i="1" s="1"/>
  <c r="N29" i="2"/>
  <c r="J4" i="1"/>
  <c r="J3" i="1"/>
  <c r="J2" i="1"/>
  <c r="E51" i="2"/>
  <c r="D53" i="2" l="1"/>
  <c r="E26" i="2" s="1"/>
  <c r="E27" i="2" s="1"/>
  <c r="J13" i="1"/>
  <c r="J42" i="1" s="1"/>
  <c r="K13" i="1"/>
  <c r="K42" i="1" s="1"/>
  <c r="I13" i="1"/>
  <c r="I42" i="1" l="1"/>
  <c r="D31" i="2" l="1"/>
  <c r="E36" i="2" s="1"/>
  <c r="E28" i="2"/>
  <c r="E37" i="2" l="1"/>
  <c r="E41" i="2" s="1"/>
  <c r="E42" i="2" l="1"/>
</calcChain>
</file>

<file path=xl/sharedStrings.xml><?xml version="1.0" encoding="utf-8"?>
<sst xmlns="http://schemas.openxmlformats.org/spreadsheetml/2006/main" count="196" uniqueCount="166">
  <si>
    <t>CONTINUATION SHEET</t>
  </si>
  <si>
    <t xml:space="preserve">  PAGE   OF   PAGES</t>
  </si>
  <si>
    <t>/WGPD</t>
  </si>
  <si>
    <t>APPLICATION NO:</t>
  </si>
  <si>
    <t>/wir.{d 25}~{r 6}/cf~~{L 6}~</t>
  </si>
  <si>
    <t>Contractor's signed certification is attached.</t>
  </si>
  <si>
    <t>APPLICATION DATE:</t>
  </si>
  <si>
    <t>/wgpe</t>
  </si>
  <si>
    <t>In tabulations below, amounts are stated to the nearest dollar.</t>
  </si>
  <si>
    <t>/ru.{d 26}</t>
  </si>
  <si>
    <t>Use Column I on Contracts where variable retainage for line items may apply.</t>
  </si>
  <si>
    <t>{L 5}</t>
  </si>
  <si>
    <t>{L 9}</t>
  </si>
  <si>
    <t>A</t>
  </si>
  <si>
    <t>B</t>
  </si>
  <si>
    <t>C</t>
  </si>
  <si>
    <t>D</t>
  </si>
  <si>
    <t>E</t>
  </si>
  <si>
    <t>F</t>
  </si>
  <si>
    <t>G</t>
  </si>
  <si>
    <t>H</t>
  </si>
  <si>
    <t>I</t>
  </si>
  <si>
    <t>/ru.{d 26}~</t>
  </si>
  <si>
    <t>DESCRIPTION OF WORK</t>
  </si>
  <si>
    <t>WORK COMPLETED</t>
  </si>
  <si>
    <t>MATERIALS</t>
  </si>
  <si>
    <t>TOTAL</t>
  </si>
  <si>
    <t>%</t>
  </si>
  <si>
    <t>BALANCE</t>
  </si>
  <si>
    <t>RETAINAGE</t>
  </si>
  <si>
    <t>FROM PREVIOUS</t>
  </si>
  <si>
    <t>THIS PERIOD</t>
  </si>
  <si>
    <t>PRESENTLY</t>
  </si>
  <si>
    <t>COMPLETED</t>
  </si>
  <si>
    <t>(G ÷ C)</t>
  </si>
  <si>
    <t>TO FINISH</t>
  </si>
  <si>
    <t>(IF VARIABLE</t>
  </si>
  <si>
    <t>APPLICATION</t>
  </si>
  <si>
    <t>STORED</t>
  </si>
  <si>
    <t>AND STORED</t>
  </si>
  <si>
    <t>(C - G)</t>
  </si>
  <si>
    <t>RATE)</t>
  </si>
  <si>
    <t>(D + E)</t>
  </si>
  <si>
    <t>(NOT IN</t>
  </si>
  <si>
    <t>TO DATE</t>
  </si>
  <si>
    <t>D OR E)</t>
  </si>
  <si>
    <t>(D+E+F)</t>
  </si>
  <si>
    <t>GRAND TOTALS</t>
  </si>
  <si>
    <t>PAGE ONE OF</t>
  </si>
  <si>
    <t>PAGES</t>
  </si>
  <si>
    <t>TO OWNER:</t>
  </si>
  <si>
    <t>PROJECT:</t>
  </si>
  <si>
    <t>Distribution to:</t>
  </si>
  <si>
    <t>OWNER</t>
  </si>
  <si>
    <t>ARCHITECT</t>
  </si>
  <si>
    <t>CONTRACTOR</t>
  </si>
  <si>
    <t>FROM CONTRACTOR:</t>
  </si>
  <si>
    <t xml:space="preserve"> </t>
  </si>
  <si>
    <t>CONTRACT FOR:</t>
  </si>
  <si>
    <t>CONTRACTOR'S APPLICATION FOR PAYMENT</t>
  </si>
  <si>
    <t xml:space="preserve">The undersigned Contractor certifies that to the best of the Contractor's knowledge, </t>
  </si>
  <si>
    <t>Application is made for payment, as shown below, in connection with the Contract.</t>
  </si>
  <si>
    <t>information and belief the Work covered by this Application for Payment has been</t>
  </si>
  <si>
    <t xml:space="preserve">completed in accordance with the Contract Documents, that all amounts have been paid by </t>
  </si>
  <si>
    <t xml:space="preserve">the Contractor for Work for which previous Certificates for Payment were issued and </t>
  </si>
  <si>
    <t>payments received from the Owner, and that current payment shown herein is now due.</t>
  </si>
  <si>
    <t xml:space="preserve">1.  ORIGINAL CONTRACT SUM </t>
  </si>
  <si>
    <t xml:space="preserve"> $</t>
  </si>
  <si>
    <t xml:space="preserve">2.  Net change by Change Orders </t>
  </si>
  <si>
    <t>CONTRACTOR:</t>
  </si>
  <si>
    <t>3.  CONTRACT SUM TO DATE (Line 1 ± 2)                                        $</t>
  </si>
  <si>
    <t>$</t>
  </si>
  <si>
    <t>4.  TOTAL COMPLETED &amp; STORED TO</t>
  </si>
  <si>
    <t xml:space="preserve">         DATE       (Column G on G703)</t>
  </si>
  <si>
    <t>By:</t>
  </si>
  <si>
    <t xml:space="preserve"> Date:</t>
  </si>
  <si>
    <t>5.  RETAINAGE:</t>
  </si>
  <si>
    <t>a.</t>
  </si>
  <si>
    <t>% of Completed Work                 $</t>
  </si>
  <si>
    <t>State of:</t>
  </si>
  <si>
    <t>County of:</t>
  </si>
  <si>
    <t>(Column D + E on G703)</t>
  </si>
  <si>
    <t>Subscribed and sworn to before me this</t>
  </si>
  <si>
    <t xml:space="preserve">          day of</t>
  </si>
  <si>
    <t>b.</t>
  </si>
  <si>
    <t>% of Stored Material                   $</t>
  </si>
  <si>
    <t>Notary Public:</t>
  </si>
  <si>
    <t>(Column F on G703)</t>
  </si>
  <si>
    <t>My Commission expires:</t>
  </si>
  <si>
    <t xml:space="preserve">           Total Retainage (Lines 5a + 5b or</t>
  </si>
  <si>
    <t xml:space="preserve">Total in Column I of G703) </t>
  </si>
  <si>
    <t xml:space="preserve">6.  TOTAL EARNED LESS RETAINAGE </t>
  </si>
  <si>
    <t>(Line 4 Less Line 5 Total)</t>
  </si>
  <si>
    <t>7.  LESS PREVIOUS CERTIFICATES FOR</t>
  </si>
  <si>
    <t xml:space="preserve">     PAYMENT (Line 6 from prior Certificate) </t>
  </si>
  <si>
    <t>the quality of the Work is in accordance with the Contract Documents, and the Contractor</t>
  </si>
  <si>
    <t xml:space="preserve">8.  CURRENT PAYMENT DUE </t>
  </si>
  <si>
    <t>is entitled to payment of the AMOUNT CERTIFIED.</t>
  </si>
  <si>
    <t>9.  BALANCE TO FINISH, INCLUDING RETAINAGE                     $</t>
  </si>
  <si>
    <t>(Line 3 less Line 6)</t>
  </si>
  <si>
    <t>AMOUNT CERTIFIED . . . . . . . . . . . $</t>
  </si>
  <si>
    <t>CHANGE ORDER SUMMARY</t>
  </si>
  <si>
    <t>ADDITIONS</t>
  </si>
  <si>
    <t>DEDUCTIONS</t>
  </si>
  <si>
    <t>(Attach explanation if amount certified differs from the amount applied. Initial all figures on this</t>
  </si>
  <si>
    <t xml:space="preserve">     Total changes approved</t>
  </si>
  <si>
    <t>Application and onthe Continuation Sheet that are changed to conform with the amount certified.)</t>
  </si>
  <si>
    <t xml:space="preserve">     TOTALS</t>
  </si>
  <si>
    <t xml:space="preserve">This Certificate is not negotiable.  The AMOUNT CERTIFIED is payable only to the </t>
  </si>
  <si>
    <t xml:space="preserve">Contractor named herein. Issuance, payment and acceptance of payment are without </t>
  </si>
  <si>
    <t xml:space="preserve">     NET CHANGES by Change Order</t>
  </si>
  <si>
    <t>prejudice to any rights of the Owner or Contractor under this Contract.</t>
  </si>
  <si>
    <t>JOB NO:</t>
  </si>
  <si>
    <t>ARCHITECT or CONSTRUCTION MANAGER:</t>
  </si>
  <si>
    <t xml:space="preserve"> CERTIFICATE FOR PAYMENT</t>
  </si>
  <si>
    <t>their knowledge, information and belief the Work has progressed as indicated,</t>
  </si>
  <si>
    <t>FILE</t>
  </si>
  <si>
    <t>In accordance with the Contract Documents, based on on-site observations and the data comprising the</t>
  </si>
  <si>
    <t>application, the Architect or Construction Manager certifies to the Owner that to the best of  the</t>
  </si>
  <si>
    <t>APPLICATION FOR PAYMENT</t>
  </si>
  <si>
    <t>Continuation Sheet is attached.</t>
  </si>
  <si>
    <t xml:space="preserve"> APPLICATION FOR PAYMENT, containing</t>
  </si>
  <si>
    <t>X</t>
  </si>
  <si>
    <t>Vagish Kapila</t>
  </si>
  <si>
    <t xml:space="preserve">     in previous billing by Owner</t>
  </si>
  <si>
    <t xml:space="preserve">     Total approved this Billing</t>
  </si>
  <si>
    <t xml:space="preserve">980 Mission Ct. </t>
  </si>
  <si>
    <t>Fremont, CA 94539</t>
  </si>
  <si>
    <t>SCOPE OF WORK:</t>
  </si>
  <si>
    <t xml:space="preserve">PAYMENT TERM: </t>
  </si>
  <si>
    <t>Due on receipt</t>
  </si>
  <si>
    <t>Bains Developments Commercial</t>
  </si>
  <si>
    <t>ITEM NO.</t>
  </si>
  <si>
    <t>SCHEDULED VALUE</t>
  </si>
  <si>
    <t xml:space="preserve">Jay Immigration Lawyer Office </t>
  </si>
  <si>
    <t>Jay Terkiana</t>
  </si>
  <si>
    <t xml:space="preserve">377 S Daniel Way, </t>
  </si>
  <si>
    <t xml:space="preserve">San Jose, CA 95128 </t>
  </si>
  <si>
    <t>03011</t>
  </si>
  <si>
    <t>Temporary Construction</t>
  </si>
  <si>
    <t>Site Work &amp; Demolition</t>
  </si>
  <si>
    <t>Concrete</t>
  </si>
  <si>
    <t>Steel/Masonry/Structural</t>
  </si>
  <si>
    <t>Carpentry</t>
  </si>
  <si>
    <t>Wood / Plastics</t>
  </si>
  <si>
    <t>Doors / Glass</t>
  </si>
  <si>
    <t>Specialities (Accessories/Fire Alarm/Hood)</t>
  </si>
  <si>
    <t>Equipment</t>
  </si>
  <si>
    <t>Furnishings/Trash Removal</t>
  </si>
  <si>
    <t>Mechanical</t>
  </si>
  <si>
    <t>Plumbing</t>
  </si>
  <si>
    <t>Electrical</t>
  </si>
  <si>
    <t>Fire Life Safety</t>
  </si>
  <si>
    <t>General Conditions (GA, Superintendent, PM, Office, Admin. Etc)</t>
  </si>
  <si>
    <t>General Liability Insurance</t>
  </si>
  <si>
    <t>Contractor's Fee</t>
  </si>
  <si>
    <t>Thermal/ Moisture Protect</t>
  </si>
  <si>
    <t>Finishes - Walls/Frames/Ceiling/Painting (Interior Metal Stud Framing)</t>
  </si>
  <si>
    <t>Approved Additional Tag 5B - Asbestos Abatement Additional Walls</t>
  </si>
  <si>
    <t>Approved Additional Tag 1A - Mechanical</t>
  </si>
  <si>
    <t>Approved Additional Tag 2A - Asbestos</t>
  </si>
  <si>
    <t>Approved Additional Tag 3A - Mechanical 1 unit added</t>
  </si>
  <si>
    <t>Approved Additional Tag 4A - Framing, Tiles / Shower Fixtures, plumbing</t>
  </si>
  <si>
    <t>Approved Additional Tag 6A - Demo for Asbestos additional walls added</t>
  </si>
  <si>
    <t xml:space="preserve">Approved Additional Tag 7A - Demo 2nd Floor / Concrete new power,Floor drains / Mechanical Front Office / Exterior Painting  </t>
  </si>
  <si>
    <t xml:space="preserve">Approved Additional Tag 8A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</si>
</sst>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7" formatCode="&quot;$&quot;#,##0.00_);\(&quot;$&quot;#,##0.00\)"/>
    <numFmt numFmtId="164" formatCode="General_)"/>
    <numFmt numFmtId="165" formatCode="mm/dd/yy"/>
    <numFmt numFmtId="166" formatCode="0_);\(0\)"/>
    <numFmt numFmtId="167" formatCode="m/d/yy;@"/>
  </numFmts>
  <fonts count="27">
    <font>
      <sz val="9"/>
      <name val="Times New Roman"/>
    </font>
    <font>
      <sz val="10"/>
      <name val="MS Sans Serif"/>
    </font>
    <font>
      <b/>
      <sz val="14"/>
      <color indexed="8"/>
      <name val="Arial"/>
      <family val="2"/>
    </font>
    <font>
      <sz val="9"/>
      <color indexed="8"/>
      <name val="Times New Roman"/>
      <family val="1"/>
    </font>
    <font>
      <i/>
      <sz val="12"/>
      <color indexed="8"/>
      <name val="Times New Roman"/>
      <family val="1"/>
    </font>
    <font>
      <sz val="7"/>
      <color indexed="8"/>
      <name val="Arial"/>
      <family val="2"/>
    </font>
    <font>
      <sz val="8"/>
      <color indexed="8"/>
      <name val="Helv"/>
    </font>
    <font>
      <sz val="10"/>
      <color indexed="8"/>
      <name val="Times New Roman"/>
      <family val="1"/>
    </font>
    <font>
      <sz val="9"/>
      <color indexed="8"/>
      <name val="Times"/>
      <family val="1"/>
    </font>
    <font>
      <i/>
      <sz val="9"/>
      <color indexed="8"/>
      <name val="Times New Roman"/>
      <family val="1"/>
    </font>
    <font>
      <sz val="6"/>
      <color indexed="8"/>
      <name val="Helv"/>
    </font>
    <font>
      <b/>
      <sz val="9"/>
      <color indexed="8"/>
      <name val="Arial"/>
      <family val="2"/>
    </font>
    <font>
      <sz val="10"/>
      <name val="Times"/>
      <family val="1"/>
    </font>
    <font>
      <sz val="10"/>
      <color indexed="8"/>
      <name val="Times"/>
      <family val="1"/>
    </font>
    <font>
      <b/>
      <sz val="18"/>
      <color indexed="8"/>
      <name val="Helv"/>
    </font>
    <font>
      <sz val="8"/>
      <color indexed="8"/>
      <name val="Arial"/>
      <family val="2"/>
    </font>
    <font>
      <sz val="6"/>
      <color indexed="8"/>
      <name val="Arial"/>
      <family val="2"/>
    </font>
    <font>
      <sz val="10"/>
      <color indexed="8"/>
      <name val="Courier"/>
      <family val="1"/>
    </font>
    <font>
      <sz val="8"/>
      <color indexed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9"/>
      <color indexed="8"/>
      <name val="Times New Roman"/>
      <family val="1"/>
    </font>
    <font>
      <sz val="10"/>
      <name val="Calibri"/>
      <family val="2"/>
    </font>
    <font>
      <i/>
      <sz val="10"/>
      <name val="Calibri"/>
      <family val="2"/>
    </font>
    <font>
      <sz val="10"/>
      <name val="TimesNewRomanPS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164" fontId="0" fillId="0" borderId="0"/>
    <xf numFmtId="40" fontId="1" fillId="0" borderId="0" applyFont="0" applyFill="0" applyBorder="0" applyAlignment="0" applyProtection="0"/>
    <xf numFmtId="37" fontId="12" fillId="0" borderId="0"/>
  </cellStyleXfs>
  <cellXfs count="137">
    <xf numFmtId="164" fontId="0" fillId="0" borderId="0" xfId="0"/>
    <xf numFmtId="164" fontId="2" fillId="0" borderId="0" xfId="0" applyFont="1" applyAlignment="1">
      <alignment horizontal="left"/>
    </xf>
    <xf numFmtId="164" fontId="3" fillId="0" borderId="0" xfId="0" applyFont="1"/>
    <xf numFmtId="164" fontId="4" fillId="0" borderId="0" xfId="0" applyFont="1"/>
    <xf numFmtId="164" fontId="5" fillId="0" borderId="0" xfId="0" applyFont="1"/>
    <xf numFmtId="164" fontId="5" fillId="0" borderId="0" xfId="0" applyFont="1" applyAlignment="1">
      <alignment horizontal="right"/>
    </xf>
    <xf numFmtId="164" fontId="5" fillId="0" borderId="0" xfId="0" applyFont="1" applyProtection="1">
      <protection locked="0"/>
    </xf>
    <xf numFmtId="164" fontId="5" fillId="0" borderId="0" xfId="0" applyFont="1" applyAlignment="1">
      <alignment horizontal="left"/>
    </xf>
    <xf numFmtId="164" fontId="6" fillId="0" borderId="0" xfId="0" applyFont="1"/>
    <xf numFmtId="164" fontId="3" fillId="0" borderId="1" xfId="0" applyFont="1" applyBorder="1"/>
    <xf numFmtId="164" fontId="7" fillId="0" borderId="0" xfId="0" applyFont="1" applyAlignment="1">
      <alignment horizontal="left"/>
    </xf>
    <xf numFmtId="164" fontId="7" fillId="0" borderId="0" xfId="0" applyFont="1"/>
    <xf numFmtId="164" fontId="7" fillId="0" borderId="0" xfId="0" applyFont="1" applyAlignment="1">
      <alignment horizontal="right"/>
    </xf>
    <xf numFmtId="164" fontId="7" fillId="0" borderId="0" xfId="0" applyFont="1" applyAlignment="1" applyProtection="1">
      <alignment horizontal="left"/>
      <protection locked="0"/>
    </xf>
    <xf numFmtId="164" fontId="7" fillId="0" borderId="0" xfId="0" applyFont="1" applyProtection="1">
      <protection locked="0"/>
    </xf>
    <xf numFmtId="164" fontId="7" fillId="0" borderId="0" xfId="0" quotePrefix="1" applyFont="1" applyProtection="1">
      <protection locked="0"/>
    </xf>
    <xf numFmtId="164" fontId="7" fillId="0" borderId="2" xfId="0" applyFont="1" applyBorder="1" applyAlignment="1" applyProtection="1">
      <alignment horizontal="center"/>
      <protection locked="0"/>
    </xf>
    <xf numFmtId="164" fontId="7" fillId="0" borderId="0" xfId="0" applyFont="1" applyAlignment="1">
      <alignment horizontal="center"/>
    </xf>
    <xf numFmtId="164" fontId="3" fillId="0" borderId="0" xfId="0" applyFont="1" applyProtection="1">
      <protection locked="0"/>
    </xf>
    <xf numFmtId="164" fontId="3" fillId="0" borderId="0" xfId="0" applyFont="1" applyAlignment="1">
      <alignment horizontal="left"/>
    </xf>
    <xf numFmtId="164" fontId="3" fillId="0" borderId="0" xfId="0" quotePrefix="1" applyFont="1" applyAlignment="1">
      <alignment horizontal="left"/>
    </xf>
    <xf numFmtId="164" fontId="8" fillId="0" borderId="0" xfId="0" applyFont="1"/>
    <xf numFmtId="164" fontId="3" fillId="0" borderId="0" xfId="0" applyFont="1" applyAlignment="1">
      <alignment horizontal="right"/>
    </xf>
    <xf numFmtId="39" fontId="3" fillId="0" borderId="3" xfId="0" applyNumberFormat="1" applyFont="1" applyBorder="1" applyProtection="1">
      <protection locked="0"/>
    </xf>
    <xf numFmtId="39" fontId="3" fillId="0" borderId="3" xfId="0" applyNumberFormat="1" applyFont="1" applyBorder="1"/>
    <xf numFmtId="164" fontId="3" fillId="0" borderId="3" xfId="0" applyFont="1" applyBorder="1"/>
    <xf numFmtId="164" fontId="3" fillId="0" borderId="3" xfId="0" applyFont="1" applyBorder="1" applyProtection="1">
      <protection locked="0"/>
    </xf>
    <xf numFmtId="37" fontId="3" fillId="0" borderId="3" xfId="0" applyNumberFormat="1" applyFont="1" applyBorder="1" applyProtection="1">
      <protection locked="0"/>
    </xf>
    <xf numFmtId="164" fontId="8" fillId="0" borderId="4" xfId="0" applyFont="1" applyBorder="1"/>
    <xf numFmtId="40" fontId="3" fillId="0" borderId="3" xfId="0" applyNumberFormat="1" applyFont="1" applyBorder="1" applyProtection="1">
      <protection locked="0"/>
    </xf>
    <xf numFmtId="164" fontId="3" fillId="0" borderId="5" xfId="0" applyFont="1" applyBorder="1" applyAlignment="1">
      <alignment horizontal="centerContinuous"/>
    </xf>
    <xf numFmtId="164" fontId="3" fillId="0" borderId="6" xfId="0" applyFont="1" applyBorder="1" applyAlignment="1">
      <alignment horizontal="centerContinuous"/>
    </xf>
    <xf numFmtId="164" fontId="3" fillId="0" borderId="7" xfId="0" applyFont="1" applyBorder="1" applyAlignment="1">
      <alignment horizontal="center"/>
    </xf>
    <xf numFmtId="164" fontId="3" fillId="0" borderId="8" xfId="0" applyFont="1" applyBorder="1" applyAlignment="1" applyProtection="1">
      <alignment horizontal="center"/>
      <protection locked="0"/>
    </xf>
    <xf numFmtId="164" fontId="9" fillId="0" borderId="0" xfId="0" quotePrefix="1" applyFont="1" applyAlignment="1">
      <alignment horizontal="left"/>
    </xf>
    <xf numFmtId="164" fontId="3" fillId="0" borderId="9" xfId="0" applyFont="1" applyBorder="1" applyAlignment="1">
      <alignment horizontal="left"/>
    </xf>
    <xf numFmtId="7" fontId="3" fillId="0" borderId="10" xfId="0" applyNumberFormat="1" applyFont="1" applyBorder="1"/>
    <xf numFmtId="7" fontId="3" fillId="0" borderId="11" xfId="0" applyNumberFormat="1" applyFont="1" applyBorder="1"/>
    <xf numFmtId="164" fontId="9" fillId="0" borderId="0" xfId="0" applyFont="1" applyAlignment="1">
      <alignment horizontal="left"/>
    </xf>
    <xf numFmtId="164" fontId="3" fillId="0" borderId="12" xfId="0" applyFont="1" applyBorder="1" applyAlignment="1">
      <alignment horizontal="left"/>
    </xf>
    <xf numFmtId="7" fontId="3" fillId="0" borderId="14" xfId="0" applyNumberFormat="1" applyFont="1" applyBorder="1" applyProtection="1">
      <protection locked="0"/>
    </xf>
    <xf numFmtId="164" fontId="3" fillId="0" borderId="9" xfId="0" applyFont="1" applyBorder="1"/>
    <xf numFmtId="7" fontId="3" fillId="0" borderId="13" xfId="0" applyNumberFormat="1" applyFont="1" applyBorder="1"/>
    <xf numFmtId="7" fontId="3" fillId="0" borderId="14" xfId="0" applyNumberFormat="1" applyFont="1" applyBorder="1"/>
    <xf numFmtId="7" fontId="3" fillId="0" borderId="15" xfId="0" applyNumberFormat="1" applyFont="1" applyBorder="1"/>
    <xf numFmtId="164" fontId="3" fillId="0" borderId="16" xfId="0" applyFont="1" applyBorder="1" applyAlignment="1">
      <alignment horizontal="left"/>
    </xf>
    <xf numFmtId="164" fontId="3" fillId="0" borderId="4" xfId="0" applyFont="1" applyBorder="1"/>
    <xf numFmtId="7" fontId="3" fillId="0" borderId="18" xfId="0" applyNumberFormat="1" applyFont="1" applyBorder="1" applyAlignment="1" applyProtection="1">
      <alignment horizontal="centerContinuous"/>
      <protection locked="0"/>
    </xf>
    <xf numFmtId="164" fontId="10" fillId="0" borderId="1" xfId="0" applyFont="1" applyBorder="1" applyAlignment="1">
      <alignment horizontal="left"/>
    </xf>
    <xf numFmtId="164" fontId="10" fillId="0" borderId="1" xfId="0" applyFont="1" applyBorder="1"/>
    <xf numFmtId="164" fontId="10" fillId="0" borderId="0" xfId="0" applyFont="1"/>
    <xf numFmtId="164" fontId="11" fillId="0" borderId="0" xfId="0" applyFont="1"/>
    <xf numFmtId="37" fontId="13" fillId="0" borderId="0" xfId="2" applyFont="1"/>
    <xf numFmtId="37" fontId="14" fillId="0" borderId="4" xfId="2" applyFont="1" applyBorder="1" applyAlignment="1">
      <alignment horizontal="left"/>
    </xf>
    <xf numFmtId="37" fontId="13" fillId="0" borderId="4" xfId="2" applyFont="1" applyBorder="1"/>
    <xf numFmtId="37" fontId="4" fillId="0" borderId="4" xfId="2" applyFont="1" applyBorder="1" applyAlignment="1">
      <alignment horizontal="left"/>
    </xf>
    <xf numFmtId="37" fontId="15" fillId="0" borderId="4" xfId="2" applyFont="1" applyBorder="1" applyAlignment="1">
      <alignment horizontal="left"/>
    </xf>
    <xf numFmtId="37" fontId="16" fillId="0" borderId="4" xfId="2" applyFont="1" applyBorder="1" applyAlignment="1" applyProtection="1">
      <alignment horizontal="left"/>
      <protection locked="0"/>
    </xf>
    <xf numFmtId="37" fontId="10" fillId="0" borderId="4" xfId="2" applyFont="1" applyBorder="1"/>
    <xf numFmtId="37" fontId="13" fillId="0" borderId="0" xfId="2" applyFont="1" applyAlignment="1">
      <alignment horizontal="left"/>
    </xf>
    <xf numFmtId="37" fontId="3" fillId="0" borderId="0" xfId="2" applyFont="1" applyAlignment="1">
      <alignment horizontal="left"/>
    </xf>
    <xf numFmtId="37" fontId="7" fillId="0" borderId="0" xfId="2" applyFont="1" applyAlignment="1">
      <alignment horizontal="right"/>
    </xf>
    <xf numFmtId="37" fontId="17" fillId="0" borderId="0" xfId="2" applyFont="1" applyProtection="1">
      <protection locked="0"/>
    </xf>
    <xf numFmtId="37" fontId="18" fillId="0" borderId="19" xfId="2" applyFont="1" applyBorder="1" applyAlignment="1">
      <alignment horizontal="center"/>
    </xf>
    <xf numFmtId="37" fontId="18" fillId="0" borderId="19" xfId="2" applyFont="1" applyBorder="1" applyAlignment="1">
      <alignment horizontal="centerContinuous"/>
    </xf>
    <xf numFmtId="37" fontId="18" fillId="0" borderId="20" xfId="2" applyFont="1" applyBorder="1" applyAlignment="1">
      <alignment horizontal="centerContinuous"/>
    </xf>
    <xf numFmtId="37" fontId="18" fillId="0" borderId="2" xfId="2" applyFont="1" applyBorder="1" applyAlignment="1">
      <alignment horizontal="center"/>
    </xf>
    <xf numFmtId="37" fontId="18" fillId="0" borderId="10" xfId="2" applyFont="1" applyBorder="1" applyAlignment="1">
      <alignment horizontal="center"/>
    </xf>
    <xf numFmtId="37" fontId="18" fillId="0" borderId="13" xfId="2" applyFont="1" applyBorder="1" applyAlignment="1">
      <alignment horizontal="centerContinuous"/>
    </xf>
    <xf numFmtId="37" fontId="18" fillId="0" borderId="3" xfId="2" applyFont="1" applyBorder="1" applyAlignment="1">
      <alignment horizontal="centerContinuous"/>
    </xf>
    <xf numFmtId="37" fontId="18" fillId="0" borderId="10" xfId="2" applyFont="1" applyBorder="1" applyAlignment="1">
      <alignment horizontal="centerContinuous"/>
    </xf>
    <xf numFmtId="37" fontId="18" fillId="0" borderId="21" xfId="2" applyFont="1" applyBorder="1" applyAlignment="1">
      <alignment horizontal="center"/>
    </xf>
    <xf numFmtId="37" fontId="18" fillId="0" borderId="10" xfId="2" quotePrefix="1" applyFont="1" applyBorder="1" applyAlignment="1">
      <alignment horizontal="center"/>
    </xf>
    <xf numFmtId="37" fontId="18" fillId="0" borderId="10" xfId="2" applyFont="1" applyBorder="1"/>
    <xf numFmtId="37" fontId="18" fillId="0" borderId="21" xfId="2" quotePrefix="1" applyFont="1" applyBorder="1" applyAlignment="1">
      <alignment horizontal="center"/>
    </xf>
    <xf numFmtId="37" fontId="18" fillId="0" borderId="21" xfId="2" applyFont="1" applyBorder="1"/>
    <xf numFmtId="37" fontId="18" fillId="0" borderId="13" xfId="2" applyFont="1" applyBorder="1"/>
    <xf numFmtId="37" fontId="18" fillId="0" borderId="13" xfId="2" applyFont="1" applyBorder="1" applyAlignment="1">
      <alignment horizontal="center"/>
    </xf>
    <xf numFmtId="37" fontId="18" fillId="0" borderId="22" xfId="2" applyFont="1" applyBorder="1"/>
    <xf numFmtId="37" fontId="3" fillId="0" borderId="10" xfId="2" applyFont="1" applyBorder="1" applyProtection="1">
      <protection locked="0"/>
    </xf>
    <xf numFmtId="7" fontId="3" fillId="0" borderId="10" xfId="2" applyNumberFormat="1" applyFont="1" applyBorder="1" applyAlignment="1" applyProtection="1">
      <alignment horizontal="right"/>
      <protection locked="0"/>
    </xf>
    <xf numFmtId="7" fontId="3" fillId="0" borderId="10" xfId="2" applyNumberFormat="1" applyFont="1" applyBorder="1"/>
    <xf numFmtId="7" fontId="3" fillId="0" borderId="21" xfId="2" applyNumberFormat="1" applyFont="1" applyBorder="1" applyProtection="1">
      <protection locked="0"/>
    </xf>
    <xf numFmtId="37" fontId="3" fillId="0" borderId="10" xfId="2" applyFont="1" applyBorder="1"/>
    <xf numFmtId="37" fontId="19" fillId="0" borderId="10" xfId="2" applyFont="1" applyBorder="1" applyAlignment="1">
      <alignment horizontal="center"/>
    </xf>
    <xf numFmtId="37" fontId="13" fillId="0" borderId="17" xfId="2" applyFont="1" applyBorder="1"/>
    <xf numFmtId="39" fontId="3" fillId="0" borderId="17" xfId="2" applyNumberFormat="1" applyFont="1" applyBorder="1"/>
    <xf numFmtId="37" fontId="13" fillId="0" borderId="23" xfId="2" applyFont="1" applyBorder="1"/>
    <xf numFmtId="37" fontId="11" fillId="0" borderId="0" xfId="2" applyFont="1"/>
    <xf numFmtId="37" fontId="10" fillId="0" borderId="0" xfId="2" applyFont="1"/>
    <xf numFmtId="10" fontId="13" fillId="0" borderId="0" xfId="2" applyNumberFormat="1" applyFont="1"/>
    <xf numFmtId="37" fontId="12" fillId="0" borderId="0" xfId="2"/>
    <xf numFmtId="7" fontId="3" fillId="0" borderId="10" xfId="2" applyNumberFormat="1" applyFont="1" applyBorder="1" applyProtection="1">
      <protection locked="0"/>
    </xf>
    <xf numFmtId="7" fontId="3" fillId="0" borderId="24" xfId="2" applyNumberFormat="1" applyFont="1" applyBorder="1"/>
    <xf numFmtId="167" fontId="7" fillId="0" borderId="0" xfId="0" applyNumberFormat="1" applyFont="1" applyProtection="1">
      <protection locked="0"/>
    </xf>
    <xf numFmtId="14" fontId="3" fillId="0" borderId="3" xfId="0" applyNumberFormat="1" applyFont="1" applyBorder="1" applyAlignment="1">
      <alignment horizontal="center"/>
    </xf>
    <xf numFmtId="37" fontId="20" fillId="0" borderId="0" xfId="2" applyFont="1" applyAlignment="1">
      <alignment horizontal="right"/>
    </xf>
    <xf numFmtId="7" fontId="3" fillId="0" borderId="25" xfId="2" applyNumberFormat="1" applyFont="1" applyBorder="1"/>
    <xf numFmtId="9" fontId="3" fillId="0" borderId="25" xfId="2" applyNumberFormat="1" applyFont="1" applyBorder="1"/>
    <xf numFmtId="40" fontId="22" fillId="0" borderId="2" xfId="1" applyFont="1" applyBorder="1"/>
    <xf numFmtId="164" fontId="3" fillId="2" borderId="12" xfId="0" applyFont="1" applyFill="1" applyBorder="1" applyAlignment="1">
      <alignment horizontal="left"/>
    </xf>
    <xf numFmtId="164" fontId="3" fillId="2" borderId="3" xfId="0" applyFont="1" applyFill="1" applyBorder="1"/>
    <xf numFmtId="7" fontId="3" fillId="2" borderId="13" xfId="0" applyNumberFormat="1" applyFont="1" applyFill="1" applyBorder="1" applyProtection="1">
      <protection locked="0"/>
    </xf>
    <xf numFmtId="37" fontId="13" fillId="0" borderId="0" xfId="2" applyFont="1" applyAlignment="1">
      <alignment wrapText="1"/>
    </xf>
    <xf numFmtId="39" fontId="23" fillId="2" borderId="3" xfId="0" applyNumberFormat="1" applyFont="1" applyFill="1" applyBorder="1" applyProtection="1">
      <protection locked="0"/>
    </xf>
    <xf numFmtId="37" fontId="7" fillId="0" borderId="0" xfId="2" applyFont="1" applyAlignment="1">
      <alignment horizontal="center" vertical="top"/>
    </xf>
    <xf numFmtId="37" fontId="18" fillId="0" borderId="10" xfId="2" applyFont="1" applyBorder="1" applyAlignment="1">
      <alignment horizontal="center" wrapText="1"/>
    </xf>
    <xf numFmtId="164" fontId="7" fillId="0" borderId="0" xfId="0" applyFont="1" applyAlignment="1">
      <alignment horizontal="center" vertical="center"/>
    </xf>
    <xf numFmtId="39" fontId="13" fillId="0" borderId="0" xfId="2" applyNumberFormat="1" applyFont="1"/>
    <xf numFmtId="37" fontId="10" fillId="0" borderId="10" xfId="2" applyFont="1" applyBorder="1"/>
    <xf numFmtId="37" fontId="3" fillId="0" borderId="2" xfId="2" applyFont="1" applyBorder="1" applyProtection="1">
      <protection locked="0"/>
    </xf>
    <xf numFmtId="7" fontId="3" fillId="0" borderId="2" xfId="2" applyNumberFormat="1" applyFont="1" applyBorder="1" applyAlignment="1" applyProtection="1">
      <alignment horizontal="right"/>
      <protection locked="0"/>
    </xf>
    <xf numFmtId="7" fontId="3" fillId="0" borderId="2" xfId="2" applyNumberFormat="1" applyFont="1" applyBorder="1"/>
    <xf numFmtId="9" fontId="3" fillId="0" borderId="2" xfId="2" applyNumberFormat="1" applyFont="1" applyBorder="1"/>
    <xf numFmtId="7" fontId="3" fillId="0" borderId="2" xfId="2" applyNumberFormat="1" applyFont="1" applyBorder="1" applyProtection="1">
      <protection locked="0"/>
    </xf>
    <xf numFmtId="7" fontId="3" fillId="0" borderId="17" xfId="0" applyNumberFormat="1" applyFont="1" applyBorder="1" applyAlignment="1" applyProtection="1">
      <alignment horizontal="right"/>
      <protection locked="0"/>
    </xf>
    <xf numFmtId="0" fontId="7" fillId="0" borderId="0" xfId="0" quotePrefix="1" applyNumberFormat="1" applyFont="1" applyAlignment="1" applyProtection="1">
      <alignment horizontal="left" vertical="top"/>
      <protection locked="0"/>
    </xf>
    <xf numFmtId="165" fontId="17" fillId="0" borderId="0" xfId="2" applyNumberFormat="1" applyFont="1" applyAlignment="1" applyProtection="1">
      <alignment horizontal="left"/>
      <protection locked="0"/>
    </xf>
    <xf numFmtId="166" fontId="7" fillId="0" borderId="0" xfId="2" quotePrefix="1" applyNumberFormat="1" applyFont="1" applyAlignment="1">
      <alignment horizontal="left"/>
    </xf>
    <xf numFmtId="164" fontId="7" fillId="0" borderId="0" xfId="0" quotePrefix="1" applyFont="1" applyAlignment="1" applyProtection="1">
      <alignment horizontal="left"/>
      <protection locked="0"/>
    </xf>
    <xf numFmtId="165" fontId="7" fillId="0" borderId="0" xfId="0" applyNumberFormat="1" applyFont="1" applyAlignment="1" applyProtection="1">
      <alignment horizontal="left"/>
      <protection locked="0"/>
    </xf>
    <xf numFmtId="37" fontId="3" fillId="0" borderId="2" xfId="2" applyFont="1" applyBorder="1" applyAlignment="1" applyProtection="1">
      <alignment wrapText="1"/>
      <protection locked="0"/>
    </xf>
    <xf numFmtId="37" fontId="3" fillId="0" borderId="2" xfId="2" applyFont="1" applyBorder="1" applyAlignment="1" applyProtection="1">
      <alignment horizontal="right" vertical="top"/>
      <protection locked="0"/>
    </xf>
    <xf numFmtId="164" fontId="24" fillId="0" borderId="0" xfId="0" applyFont="1"/>
    <xf numFmtId="164" fontId="24" fillId="0" borderId="2" xfId="0" applyFont="1" applyBorder="1" applyAlignment="1">
      <alignment wrapText="1"/>
    </xf>
    <xf numFmtId="164" fontId="24" fillId="0" borderId="2" xfId="0" applyFont="1" applyBorder="1"/>
    <xf numFmtId="164" fontId="25" fillId="0" borderId="2" xfId="0" applyFont="1" applyBorder="1"/>
    <xf numFmtId="7" fontId="3" fillId="0" borderId="2" xfId="2" applyNumberFormat="1" applyFont="1" applyBorder="1" applyAlignment="1" applyProtection="1">
      <alignment horizontal="right" vertical="center"/>
      <protection locked="0"/>
    </xf>
    <xf numFmtId="37" fontId="17" fillId="0" borderId="0" xfId="2" applyFont="1" applyAlignment="1" applyProtection="1">
      <alignment horizontal="left" vertical="top"/>
      <protection locked="0"/>
    </xf>
    <xf numFmtId="164" fontId="26" fillId="0" borderId="0" xfId="0" applyFont="1"/>
    <xf numFmtId="0" fontId="3" fillId="0" borderId="2" xfId="2" applyNumberFormat="1" applyFont="1" applyBorder="1" applyProtection="1">
      <protection locked="0"/>
    </xf>
    <xf numFmtId="5" fontId="3" fillId="0" borderId="25" xfId="2" applyNumberFormat="1" applyFont="1" applyBorder="1"/>
    <xf numFmtId="7" fontId="3" fillId="0" borderId="2" xfId="2" applyNumberFormat="1" applyFont="1" applyBorder="1" applyAlignment="1" applyProtection="1">
      <alignment horizontal="center" vertical="center"/>
      <protection locked="0"/>
    </xf>
    <xf numFmtId="164" fontId="24" fillId="0" borderId="0" xfId="0" applyFont="1" applyAlignment="1">
      <alignment vertical="center" wrapText="1"/>
    </xf>
    <xf numFmtId="37" fontId="3" fillId="0" borderId="2" xfId="2" applyFont="1" applyBorder="1" applyAlignment="1" applyProtection="1">
      <alignment vertical="center"/>
      <protection locked="0"/>
    </xf>
    <xf numFmtId="9" fontId="3" fillId="0" borderId="2" xfId="2" applyNumberFormat="1" applyFont="1" applyBorder="1" applyAlignment="1">
      <alignment vertical="center"/>
    </xf>
    <xf numFmtId="7" fontId="3" fillId="0" borderId="2" xfId="2" applyNumberFormat="1" applyFont="1" applyBorder="1" applyAlignment="1" applyProtection="1">
      <alignment vertical="center"/>
      <protection locked="0"/>
    </xf>
  </cellXfs>
  <cellStyles count="3">
    <cellStyle name="Comma" xfId="1" builtinId="3"/>
    <cellStyle name="Normal" xfId="0" builtinId="0"/>
    <cellStyle name="Normal_G7031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iff"/><Relationship Id="rId2" Type="http://schemas.openxmlformats.org/officeDocument/2006/relationships/image" Target="../media/image2.tif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990600</xdr:colOff>
      <xdr:row>2</xdr:row>
      <xdr:rowOff>33867</xdr:rowOff>
    </xdr:from>
    <xdr:to>
      <xdr:col>9</xdr:col>
      <xdr:colOff>200025</xdr:colOff>
      <xdr:row>8</xdr:row>
      <xdr:rowOff>83608</xdr:rowOff>
    </xdr:to>
    <xdr:pic>
      <xdr:nvPicPr>
        <xdr:cNvPr id="1101" name="Picture 2">
          <a:extLst>
            <a:ext uri="{FF2B5EF4-FFF2-40B4-BE49-F238E27FC236}">
              <a16:creationId xmlns:a16="http://schemas.microsoft.com/office/drawing/2014/main" id="{F11BA906-971D-40B5-91FD-05F05B96A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7600" y="355600"/>
          <a:ext cx="3180292" cy="6678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762000</xdr:colOff>
      <xdr:row>24</xdr:row>
      <xdr:rowOff>76199</xdr:rowOff>
    </xdr:from>
    <xdr:to>
      <xdr:col>8</xdr:col>
      <xdr:colOff>558800</xdr:colOff>
      <xdr:row>27</xdr:row>
      <xdr:rowOff>22555</xdr:rowOff>
    </xdr:to>
    <xdr:pic>
      <xdr:nvPicPr>
        <xdr:cNvPr id="4" name="Picture 3" descr="A picture containing icon&#10;&#10;Description automatically generated">
          <a:extLst>
            <a:ext uri="{FF2B5EF4-FFF2-40B4-BE49-F238E27FC236}">
              <a16:creationId xmlns:a16="http://schemas.microsoft.com/office/drawing/2014/main" id="{F15514E2-787B-F74A-8850-4B5E27042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1733" y="3107266"/>
          <a:ext cx="1007534" cy="3781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762000</xdr:colOff>
      <xdr:row>24</xdr:row>
      <xdr:rowOff>76199</xdr:rowOff>
    </xdr:from>
    <xdr:to>
      <xdr:col>8</xdr:col>
      <xdr:colOff>634055</xdr:colOff>
      <xdr:row>27</xdr:row>
      <xdr:rowOff>50800</xdr:rowOff>
    </xdr:to>
    <xdr:pic>
      <xdr:nvPicPr>
        <xdr:cNvPr id="5" name="Picture 4" descr="A picture containing icon&#10;&#10;Description automatically generated">
          <a:extLst>
            <a:ext uri="{FF2B5EF4-FFF2-40B4-BE49-F238E27FC236}">
              <a16:creationId xmlns:a16="http://schemas.microsoft.com/office/drawing/2014/main" id="{C0E47DE4-8934-2D4F-A8AB-7536D7035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1733" y="3107266"/>
          <a:ext cx="1082789" cy="4064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26" transitionEvaluation="1">
    <pageSetUpPr fitToPage="1"/>
  </sheetPr>
  <dimension ref="A1:P59"/>
  <sheetViews>
    <sheetView showGridLines="0" topLeftCell="B21" zoomScale="150" zoomScaleNormal="150" workbookViewId="0">
      <selection activeCell="I16" sqref="I16"/>
    </sheetView>
  </sheetViews>
  <sheetFormatPr baseColWidth="10" defaultColWidth="9.796875" defaultRowHeight="12"/>
  <cols>
    <col min="1" max="1" width="5.796875" style="2" customWidth="1"/>
    <col min="2" max="2" width="6.3984375" style="2" customWidth="1"/>
    <col min="3" max="3" width="28.59765625" style="2" customWidth="1"/>
    <col min="4" max="4" width="21" style="2" customWidth="1"/>
    <col min="5" max="5" width="16.796875" style="2" customWidth="1"/>
    <col min="6" max="6" width="10.59765625" style="2" customWidth="1"/>
    <col min="7" max="7" width="3.59765625" style="2" customWidth="1"/>
    <col min="8" max="8" width="19" style="2" customWidth="1"/>
    <col min="9" max="9" width="12.3984375" style="2" customWidth="1"/>
    <col min="10" max="10" width="14" style="2" customWidth="1"/>
    <col min="11" max="11" width="5.59765625" style="2" customWidth="1"/>
    <col min="12" max="12" width="2.796875" style="2" customWidth="1"/>
    <col min="13" max="13" width="3.796875" style="2" customWidth="1"/>
    <col min="14" max="14" width="22.3984375" style="2" customWidth="1"/>
    <col min="15" max="15" width="6.3984375" style="2" customWidth="1"/>
    <col min="16" max="16384" width="9.796875" style="2"/>
  </cols>
  <sheetData>
    <row r="1" spans="1:16" ht="19" thickBot="1">
      <c r="A1" s="1" t="s">
        <v>119</v>
      </c>
      <c r="G1" s="3"/>
      <c r="I1" s="4"/>
      <c r="J1" s="5" t="s">
        <v>48</v>
      </c>
      <c r="K1" s="2">
        <v>2</v>
      </c>
      <c r="L1" s="4"/>
      <c r="M1" s="6"/>
      <c r="N1" s="7" t="s">
        <v>49</v>
      </c>
      <c r="O1" s="8"/>
      <c r="P1" s="8"/>
    </row>
    <row r="2" spans="1:16" ht="6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6" ht="13">
      <c r="A3" s="10" t="s">
        <v>50</v>
      </c>
      <c r="B3" s="11"/>
      <c r="C3" s="11"/>
      <c r="D3" s="107" t="s">
        <v>51</v>
      </c>
      <c r="E3" s="13"/>
      <c r="F3" s="14"/>
      <c r="G3" s="14"/>
      <c r="J3" s="14"/>
      <c r="O3" s="11"/>
      <c r="P3" s="11"/>
    </row>
    <row r="4" spans="1:16" ht="3" customHeight="1">
      <c r="A4" s="10"/>
      <c r="B4" s="11"/>
      <c r="C4" s="11"/>
      <c r="D4" s="12"/>
      <c r="E4" s="13"/>
      <c r="F4" s="14"/>
      <c r="G4" s="14"/>
      <c r="H4" s="10"/>
      <c r="I4" s="15"/>
      <c r="J4" s="14"/>
      <c r="O4" s="11"/>
      <c r="P4" s="11"/>
    </row>
    <row r="5" spans="1:16" ht="13">
      <c r="A5" s="10"/>
      <c r="B5" s="129" t="s">
        <v>135</v>
      </c>
      <c r="C5" s="11"/>
      <c r="D5" s="129" t="s">
        <v>134</v>
      </c>
      <c r="E5" s="13"/>
      <c r="F5" s="14"/>
      <c r="G5" s="14"/>
      <c r="H5" s="10"/>
      <c r="I5" s="15"/>
      <c r="J5" s="14"/>
      <c r="O5" s="11"/>
      <c r="P5" s="11"/>
    </row>
    <row r="6" spans="1:16" ht="2" customHeight="1">
      <c r="A6" s="11"/>
      <c r="B6" s="11"/>
      <c r="C6" s="11"/>
      <c r="D6" s="12"/>
      <c r="E6" s="11"/>
      <c r="F6" s="11"/>
      <c r="G6" s="11"/>
      <c r="H6" s="11"/>
      <c r="I6" s="11"/>
      <c r="J6" s="11"/>
      <c r="O6" s="11"/>
      <c r="P6" s="11"/>
    </row>
    <row r="7" spans="1:16" ht="13">
      <c r="A7" s="11"/>
      <c r="B7" s="11" t="s">
        <v>136</v>
      </c>
      <c r="C7" s="14"/>
      <c r="D7" s="12"/>
      <c r="E7" s="14"/>
      <c r="F7" s="14"/>
      <c r="G7" s="14"/>
      <c r="H7" s="11"/>
      <c r="I7" s="11"/>
      <c r="J7" s="11"/>
      <c r="O7" s="11"/>
      <c r="P7" s="11"/>
    </row>
    <row r="8" spans="1:16" ht="3" customHeight="1">
      <c r="A8" s="11"/>
      <c r="B8" s="11"/>
      <c r="C8" s="11"/>
      <c r="D8" s="12"/>
      <c r="E8" s="11"/>
      <c r="F8" s="11"/>
      <c r="G8" s="11"/>
      <c r="H8" s="11"/>
      <c r="I8" s="11"/>
      <c r="J8" s="11"/>
      <c r="O8" s="11"/>
      <c r="P8" s="11"/>
    </row>
    <row r="9" spans="1:16" ht="13">
      <c r="A9" s="11"/>
      <c r="B9" s="11" t="s">
        <v>137</v>
      </c>
      <c r="C9" s="11"/>
      <c r="D9" s="12"/>
      <c r="E9" s="11"/>
      <c r="F9" s="11"/>
      <c r="G9" s="11"/>
      <c r="J9" s="14"/>
      <c r="K9" s="10" t="s">
        <v>52</v>
      </c>
      <c r="L9" s="11"/>
      <c r="M9" s="11"/>
      <c r="N9" s="11"/>
      <c r="O9" s="11"/>
      <c r="P9" s="11"/>
    </row>
    <row r="10" spans="1:16" ht="2" customHeight="1">
      <c r="A10" s="11"/>
      <c r="B10" s="11"/>
      <c r="C10" s="11"/>
      <c r="D10" s="12"/>
      <c r="E10" s="11"/>
      <c r="F10" s="11"/>
      <c r="G10" s="11"/>
      <c r="H10" s="11"/>
      <c r="I10" s="11"/>
      <c r="J10" s="11"/>
      <c r="K10" s="10"/>
      <c r="L10" s="11"/>
      <c r="M10" s="11"/>
      <c r="N10" s="11"/>
      <c r="O10" s="11"/>
      <c r="P10" s="11"/>
    </row>
    <row r="11" spans="1:16" ht="13">
      <c r="A11" s="10" t="s">
        <v>56</v>
      </c>
      <c r="B11" s="11"/>
      <c r="C11" s="11"/>
      <c r="D11" s="12" t="s">
        <v>128</v>
      </c>
      <c r="E11" s="14"/>
      <c r="F11" s="14"/>
      <c r="G11" s="14"/>
      <c r="H11" s="10" t="s">
        <v>3</v>
      </c>
      <c r="I11" s="119">
        <v>4</v>
      </c>
      <c r="J11" s="11"/>
      <c r="K11" s="16" t="s">
        <v>122</v>
      </c>
      <c r="L11" s="10" t="s">
        <v>53</v>
      </c>
      <c r="M11" s="11"/>
      <c r="N11" s="11"/>
      <c r="O11" s="11"/>
      <c r="P11" s="11"/>
    </row>
    <row r="12" spans="1:16" ht="2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7"/>
      <c r="L12" s="11"/>
      <c r="M12" s="11"/>
      <c r="N12" s="11"/>
      <c r="O12" s="11"/>
      <c r="P12" s="11"/>
    </row>
    <row r="13" spans="1:16" ht="13">
      <c r="A13" s="11"/>
      <c r="B13" s="14" t="s">
        <v>131</v>
      </c>
      <c r="C13" s="14"/>
      <c r="D13" s="129" t="s">
        <v>134</v>
      </c>
      <c r="E13" s="14"/>
      <c r="F13" s="14"/>
      <c r="G13" s="14"/>
      <c r="H13" s="61" t="s">
        <v>6</v>
      </c>
      <c r="I13" s="120">
        <v>44837</v>
      </c>
      <c r="J13" s="11"/>
      <c r="K13" s="16"/>
      <c r="L13" s="10" t="s">
        <v>54</v>
      </c>
      <c r="M13" s="11"/>
      <c r="N13" s="11"/>
      <c r="O13" s="11"/>
      <c r="P13" s="11"/>
    </row>
    <row r="14" spans="1:16" ht="2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7"/>
      <c r="L14" s="11"/>
      <c r="M14" s="11"/>
      <c r="N14" s="11"/>
      <c r="O14" s="11"/>
      <c r="P14" s="11"/>
    </row>
    <row r="15" spans="1:16" ht="13">
      <c r="A15" s="11"/>
      <c r="B15" s="14" t="s">
        <v>126</v>
      </c>
      <c r="C15" s="14"/>
      <c r="D15" s="11"/>
      <c r="E15" s="11"/>
      <c r="F15" s="11"/>
      <c r="G15" s="11"/>
      <c r="H15" s="105" t="s">
        <v>129</v>
      </c>
      <c r="I15" s="105" t="s">
        <v>130</v>
      </c>
      <c r="J15" s="14"/>
      <c r="K15" s="16"/>
      <c r="L15" s="10" t="s">
        <v>55</v>
      </c>
      <c r="M15" s="11"/>
      <c r="N15" s="11"/>
      <c r="O15" s="11"/>
      <c r="P15" s="11"/>
    </row>
    <row r="16" spans="1:16" ht="13">
      <c r="A16" s="11"/>
      <c r="B16" s="14" t="s">
        <v>127</v>
      </c>
      <c r="C16" s="14"/>
      <c r="D16" s="11"/>
      <c r="E16" s="11"/>
      <c r="F16" s="11"/>
      <c r="G16" s="11"/>
      <c r="H16" s="10" t="s">
        <v>112</v>
      </c>
      <c r="I16" s="116" t="s">
        <v>138</v>
      </c>
      <c r="J16" s="11"/>
      <c r="K16" s="16"/>
      <c r="L16" s="14" t="s">
        <v>116</v>
      </c>
      <c r="M16" s="14"/>
      <c r="N16" s="11"/>
      <c r="O16" s="11"/>
      <c r="P16" s="11"/>
    </row>
    <row r="17" spans="1:14" ht="14" thickBot="1">
      <c r="A17" s="10" t="s">
        <v>58</v>
      </c>
      <c r="B17" s="11"/>
      <c r="C17" s="11"/>
      <c r="D17" s="18"/>
      <c r="E17" s="14"/>
      <c r="F17" s="14"/>
      <c r="G17" s="11"/>
      <c r="H17" s="10" t="s">
        <v>57</v>
      </c>
      <c r="I17" s="94" t="s">
        <v>57</v>
      </c>
      <c r="J17" s="14"/>
      <c r="N17" s="11"/>
    </row>
    <row r="18" spans="1:14" ht="3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8">
      <c r="A19" s="1" t="s">
        <v>59</v>
      </c>
      <c r="G19" s="19" t="s">
        <v>60</v>
      </c>
      <c r="H19" s="11"/>
      <c r="I19" s="11"/>
      <c r="J19" s="11"/>
      <c r="K19" s="11"/>
      <c r="L19" s="11"/>
      <c r="M19" s="11"/>
      <c r="N19" s="11"/>
    </row>
    <row r="20" spans="1:14" ht="11" customHeight="1">
      <c r="A20" s="20" t="s">
        <v>61</v>
      </c>
      <c r="F20" s="21"/>
      <c r="G20" s="19" t="s">
        <v>62</v>
      </c>
    </row>
    <row r="21" spans="1:14" ht="11" customHeight="1">
      <c r="A21" s="19" t="s">
        <v>120</v>
      </c>
      <c r="F21" s="21"/>
      <c r="G21" s="19" t="s">
        <v>63</v>
      </c>
    </row>
    <row r="22" spans="1:14" ht="11" customHeight="1">
      <c r="A22" s="19" t="s">
        <v>57</v>
      </c>
      <c r="F22" s="21"/>
      <c r="G22" s="19" t="s">
        <v>64</v>
      </c>
    </row>
    <row r="23" spans="1:14" ht="11" customHeight="1">
      <c r="A23" s="19" t="s">
        <v>57</v>
      </c>
      <c r="F23" s="21"/>
      <c r="G23" s="19" t="s">
        <v>65</v>
      </c>
    </row>
    <row r="24" spans="1:14" ht="11" customHeight="1">
      <c r="F24" s="21"/>
    </row>
    <row r="25" spans="1:14" ht="11" customHeight="1">
      <c r="A25" s="19" t="s">
        <v>66</v>
      </c>
      <c r="D25" s="22" t="s">
        <v>67</v>
      </c>
      <c r="E25" s="23">
        <v>781782</v>
      </c>
      <c r="F25" s="21"/>
    </row>
    <row r="26" spans="1:14" ht="11" customHeight="1">
      <c r="A26" s="19" t="s">
        <v>68</v>
      </c>
      <c r="D26" s="22" t="s">
        <v>67</v>
      </c>
      <c r="E26" s="23">
        <f>+D53</f>
        <v>54132</v>
      </c>
      <c r="F26" s="21"/>
      <c r="G26" s="19" t="s">
        <v>69</v>
      </c>
    </row>
    <row r="27" spans="1:14" ht="11" customHeight="1">
      <c r="A27" s="19" t="s">
        <v>70</v>
      </c>
      <c r="D27" s="22" t="s">
        <v>71</v>
      </c>
      <c r="E27" s="24">
        <f>IF(SUM(E25,E26)=0,"",SUM(E25,E26))</f>
        <v>835914</v>
      </c>
      <c r="F27" s="21"/>
    </row>
    <row r="28" spans="1:14" ht="11" customHeight="1">
      <c r="A28" s="19" t="s">
        <v>72</v>
      </c>
      <c r="D28" s="22" t="s">
        <v>71</v>
      </c>
      <c r="E28" s="23">
        <f>+'Continuation Sheet'!H42</f>
        <v>518160.63</v>
      </c>
      <c r="F28" s="21"/>
    </row>
    <row r="29" spans="1:14" ht="11" customHeight="1">
      <c r="A29" s="19" t="s">
        <v>73</v>
      </c>
      <c r="F29" s="21"/>
      <c r="G29" s="19" t="s">
        <v>74</v>
      </c>
      <c r="H29" s="25" t="s">
        <v>123</v>
      </c>
      <c r="I29" s="25"/>
      <c r="J29" s="25"/>
      <c r="K29" s="19" t="s">
        <v>75</v>
      </c>
      <c r="M29" s="25"/>
      <c r="N29" s="95">
        <f>I13</f>
        <v>44837</v>
      </c>
    </row>
    <row r="30" spans="1:14" ht="11" customHeight="1">
      <c r="A30" s="19" t="s">
        <v>76</v>
      </c>
      <c r="F30" s="21"/>
    </row>
    <row r="31" spans="1:14" ht="11" customHeight="1">
      <c r="A31" s="22" t="s">
        <v>77</v>
      </c>
      <c r="B31" s="26">
        <v>10</v>
      </c>
      <c r="C31" s="19" t="s">
        <v>78</v>
      </c>
      <c r="D31" s="23">
        <f>+'Continuation Sheet'!K42</f>
        <v>0</v>
      </c>
      <c r="F31" s="21"/>
      <c r="G31" s="19" t="s">
        <v>79</v>
      </c>
      <c r="J31" s="22" t="s">
        <v>80</v>
      </c>
    </row>
    <row r="32" spans="1:14" ht="11" customHeight="1">
      <c r="B32" s="19" t="s">
        <v>81</v>
      </c>
      <c r="F32" s="21"/>
      <c r="G32" s="19" t="s">
        <v>82</v>
      </c>
      <c r="J32" s="19" t="s">
        <v>83</v>
      </c>
      <c r="N32" s="19" t="s">
        <v>57</v>
      </c>
    </row>
    <row r="33" spans="1:14" ht="11" customHeight="1">
      <c r="A33" s="22" t="s">
        <v>84</v>
      </c>
      <c r="B33" s="26"/>
      <c r="C33" s="2" t="s">
        <v>85</v>
      </c>
      <c r="D33" s="27"/>
      <c r="F33" s="21"/>
      <c r="G33" s="19" t="s">
        <v>86</v>
      </c>
    </row>
    <row r="34" spans="1:14" ht="11" customHeight="1">
      <c r="B34" s="19" t="s">
        <v>87</v>
      </c>
      <c r="F34" s="21"/>
      <c r="G34" s="19" t="s">
        <v>88</v>
      </c>
    </row>
    <row r="35" spans="1:14" ht="11" customHeight="1" thickBot="1">
      <c r="A35" s="19" t="s">
        <v>89</v>
      </c>
      <c r="F35" s="21"/>
      <c r="G35" s="28"/>
      <c r="H35" s="28"/>
      <c r="I35" s="28"/>
      <c r="J35" s="28"/>
      <c r="K35" s="28"/>
      <c r="L35" s="28"/>
      <c r="M35" s="28"/>
      <c r="N35" s="28"/>
    </row>
    <row r="36" spans="1:14" ht="15.75" customHeight="1">
      <c r="B36" s="19" t="s">
        <v>90</v>
      </c>
      <c r="D36" s="22" t="s">
        <v>71</v>
      </c>
      <c r="E36" s="29">
        <f>D31+D33</f>
        <v>0</v>
      </c>
      <c r="F36" s="21"/>
      <c r="G36" s="1" t="s">
        <v>114</v>
      </c>
      <c r="H36" s="8"/>
      <c r="I36" s="8"/>
      <c r="J36" s="8"/>
      <c r="K36" s="8"/>
      <c r="L36" s="8"/>
      <c r="M36" s="8"/>
      <c r="N36" s="8"/>
    </row>
    <row r="37" spans="1:14" ht="11" customHeight="1">
      <c r="A37" s="19" t="s">
        <v>91</v>
      </c>
      <c r="D37" s="22" t="s">
        <v>71</v>
      </c>
      <c r="E37" s="24">
        <f>E28-E36</f>
        <v>518160.63</v>
      </c>
      <c r="F37" s="21"/>
      <c r="G37" s="19" t="s">
        <v>117</v>
      </c>
    </row>
    <row r="38" spans="1:14" ht="11" customHeight="1">
      <c r="B38" s="19" t="s">
        <v>92</v>
      </c>
      <c r="F38" s="21"/>
      <c r="G38" s="19" t="s">
        <v>118</v>
      </c>
    </row>
    <row r="39" spans="1:14" ht="11" customHeight="1">
      <c r="A39" s="19" t="s">
        <v>93</v>
      </c>
      <c r="F39" s="21"/>
      <c r="G39" s="19" t="s">
        <v>115</v>
      </c>
    </row>
    <row r="40" spans="1:14" ht="11" customHeight="1">
      <c r="A40" s="19" t="s">
        <v>94</v>
      </c>
      <c r="D40" s="22" t="s">
        <v>71</v>
      </c>
      <c r="E40" s="23">
        <f>63513.2+213387.11+208990.32</f>
        <v>485890.63</v>
      </c>
      <c r="F40" s="21"/>
      <c r="G40" s="19" t="s">
        <v>95</v>
      </c>
    </row>
    <row r="41" spans="1:14" ht="11" customHeight="1">
      <c r="A41" s="19" t="s">
        <v>96</v>
      </c>
      <c r="D41" s="22" t="s">
        <v>71</v>
      </c>
      <c r="E41" s="104">
        <f>E37-E40</f>
        <v>32270</v>
      </c>
      <c r="F41" s="21"/>
      <c r="G41" s="19" t="s">
        <v>97</v>
      </c>
    </row>
    <row r="42" spans="1:14" ht="11" customHeight="1">
      <c r="A42" s="19" t="s">
        <v>98</v>
      </c>
      <c r="E42" s="24">
        <f>E27-E37</f>
        <v>317753.37</v>
      </c>
      <c r="F42" s="21"/>
    </row>
    <row r="43" spans="1:14" ht="11" customHeight="1">
      <c r="B43" s="19" t="s">
        <v>99</v>
      </c>
      <c r="F43" s="21"/>
      <c r="G43" s="19" t="s">
        <v>100</v>
      </c>
      <c r="J43" s="27"/>
    </row>
    <row r="44" spans="1:14" ht="11" customHeight="1" thickBot="1">
      <c r="F44" s="21"/>
    </row>
    <row r="45" spans="1:14" ht="11" customHeight="1">
      <c r="A45" s="30" t="s">
        <v>101</v>
      </c>
      <c r="B45" s="31"/>
      <c r="C45" s="31"/>
      <c r="D45" s="32" t="s">
        <v>102</v>
      </c>
      <c r="E45" s="33" t="s">
        <v>103</v>
      </c>
      <c r="F45" s="21"/>
      <c r="G45" s="34" t="s">
        <v>104</v>
      </c>
    </row>
    <row r="46" spans="1:14" ht="11" customHeight="1">
      <c r="A46" s="35" t="s">
        <v>105</v>
      </c>
      <c r="D46" s="99" t="s">
        <v>57</v>
      </c>
      <c r="E46" s="37"/>
      <c r="F46" s="21"/>
      <c r="G46" s="38" t="s">
        <v>106</v>
      </c>
    </row>
    <row r="47" spans="1:14" ht="11" customHeight="1">
      <c r="A47" s="39" t="s">
        <v>124</v>
      </c>
      <c r="B47" s="25"/>
      <c r="C47" s="25"/>
      <c r="D47" s="102">
        <f>-147685+22356+35327+8868+10889+15953+76154</f>
        <v>21862</v>
      </c>
      <c r="E47" s="40"/>
      <c r="F47" s="21"/>
      <c r="G47" s="19" t="s">
        <v>113</v>
      </c>
    </row>
    <row r="48" spans="1:14" ht="6.75" customHeight="1">
      <c r="A48" s="41"/>
      <c r="D48" s="36"/>
      <c r="E48" s="37"/>
      <c r="F48" s="21"/>
    </row>
    <row r="49" spans="1:14" ht="12.75" customHeight="1">
      <c r="A49" s="100" t="s">
        <v>125</v>
      </c>
      <c r="B49" s="101"/>
      <c r="C49" s="101"/>
      <c r="D49" s="102">
        <v>32270</v>
      </c>
      <c r="E49" s="40"/>
      <c r="F49" s="21"/>
      <c r="G49" s="19" t="s">
        <v>74</v>
      </c>
      <c r="H49" s="25"/>
      <c r="I49" s="25"/>
      <c r="J49" s="25"/>
      <c r="K49" s="19" t="s">
        <v>75</v>
      </c>
      <c r="L49" s="25"/>
      <c r="M49" s="25"/>
      <c r="N49" s="25"/>
    </row>
    <row r="50" spans="1:14" ht="3.75" customHeight="1">
      <c r="A50" s="41"/>
      <c r="D50" s="36"/>
      <c r="E50" s="37"/>
      <c r="F50" s="21"/>
    </row>
    <row r="51" spans="1:14" ht="12.75" customHeight="1">
      <c r="A51" s="39" t="s">
        <v>107</v>
      </c>
      <c r="B51" s="25"/>
      <c r="C51" s="25"/>
      <c r="D51" s="42">
        <f>D47+D49+D46</f>
        <v>54132</v>
      </c>
      <c r="E51" s="43">
        <f>E47+E49</f>
        <v>0</v>
      </c>
      <c r="F51" s="21"/>
      <c r="G51" s="19" t="s">
        <v>108</v>
      </c>
    </row>
    <row r="52" spans="1:14" ht="9" customHeight="1">
      <c r="A52" s="41"/>
      <c r="D52" s="36"/>
      <c r="E52" s="44"/>
      <c r="F52" s="21"/>
      <c r="G52" s="19" t="s">
        <v>109</v>
      </c>
    </row>
    <row r="53" spans="1:14" ht="12.75" customHeight="1" thickBot="1">
      <c r="A53" s="45" t="s">
        <v>110</v>
      </c>
      <c r="B53" s="46"/>
      <c r="C53" s="46"/>
      <c r="D53" s="115">
        <f>D51-E51</f>
        <v>54132</v>
      </c>
      <c r="E53" s="47"/>
      <c r="F53" s="21"/>
      <c r="G53" s="19" t="s">
        <v>111</v>
      </c>
    </row>
    <row r="54" spans="1:14" ht="6" customHeight="1" thickBot="1">
      <c r="F54" s="21"/>
      <c r="G54" s="11"/>
      <c r="H54" s="11"/>
      <c r="I54" s="11"/>
      <c r="J54" s="11"/>
      <c r="K54" s="11"/>
      <c r="L54" s="11"/>
      <c r="M54" s="11"/>
      <c r="N54" s="11"/>
    </row>
    <row r="55" spans="1:14">
      <c r="A55" s="48"/>
      <c r="B55" s="49"/>
      <c r="C55" s="49"/>
      <c r="D55" s="49"/>
      <c r="E55" s="49"/>
      <c r="F55" s="49"/>
      <c r="G55" s="48"/>
      <c r="H55" s="49"/>
      <c r="I55" s="49"/>
      <c r="J55" s="49"/>
      <c r="K55" s="49"/>
      <c r="L55" s="49"/>
      <c r="M55" s="49"/>
      <c r="N55" s="49"/>
    </row>
    <row r="56" spans="1:14">
      <c r="A56" s="51"/>
      <c r="N56" s="50"/>
    </row>
    <row r="59" spans="1:14">
      <c r="D59" s="2" t="s">
        <v>57</v>
      </c>
    </row>
  </sheetData>
  <sheetProtection password="D5F3"/>
  <phoneticPr fontId="21" type="noConversion"/>
  <printOptions gridLinesSet="0"/>
  <pageMargins left="4.5999999999999999E-2" right="0.26" top="6.0000000000000001E-3" bottom="1.9E-2" header="0.5" footer="0.5"/>
  <pageSetup scale="87" orientation="landscape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C11" transitionEvaluation="1">
    <pageSetUpPr fitToPage="1"/>
  </sheetPr>
  <dimension ref="B1:IK47"/>
  <sheetViews>
    <sheetView showGridLines="0" tabSelected="1" topLeftCell="C23" zoomScale="136" zoomScaleNormal="150" workbookViewId="0">
      <selection activeCell="D47" sqref="D47"/>
    </sheetView>
  </sheetViews>
  <sheetFormatPr baseColWidth="10" defaultColWidth="9.796875" defaultRowHeight="14"/>
  <cols>
    <col min="1" max="1" width="4.59765625" style="52" customWidth="1"/>
    <col min="2" max="2" width="5.59765625" style="52" customWidth="1"/>
    <col min="3" max="3" width="58.796875" style="52" customWidth="1"/>
    <col min="4" max="4" width="14.3984375" style="52" customWidth="1"/>
    <col min="5" max="5" width="16.3984375" style="52" customWidth="1"/>
    <col min="6" max="6" width="13.796875" style="52" customWidth="1"/>
    <col min="7" max="7" width="16.3984375" style="52" customWidth="1"/>
    <col min="8" max="8" width="14.3984375" style="52" customWidth="1"/>
    <col min="9" max="9" width="11" style="52" customWidth="1"/>
    <col min="10" max="10" width="13.796875" style="52" customWidth="1"/>
    <col min="11" max="11" width="12.59765625" style="52" customWidth="1"/>
    <col min="12" max="12" width="9.796875" style="52"/>
    <col min="13" max="13" width="11.19921875" style="52" bestFit="1" customWidth="1"/>
    <col min="14" max="16384" width="9.796875" style="52"/>
  </cols>
  <sheetData>
    <row r="1" spans="2:245" ht="24" thickBot="1">
      <c r="B1" s="53" t="s">
        <v>0</v>
      </c>
      <c r="C1" s="54"/>
      <c r="D1" s="54"/>
      <c r="E1" s="54"/>
      <c r="F1" s="55"/>
      <c r="G1" s="54"/>
      <c r="H1" s="56"/>
      <c r="I1" s="54"/>
      <c r="J1" s="57" t="s">
        <v>1</v>
      </c>
      <c r="K1" s="58"/>
      <c r="II1" s="59" t="s">
        <v>2</v>
      </c>
    </row>
    <row r="2" spans="2:245">
      <c r="B2" s="60" t="s">
        <v>121</v>
      </c>
      <c r="I2" s="61" t="s">
        <v>3</v>
      </c>
      <c r="J2" s="128">
        <f>Application!I11</f>
        <v>4</v>
      </c>
      <c r="K2" s="62"/>
      <c r="II2" s="59" t="s">
        <v>4</v>
      </c>
    </row>
    <row r="3" spans="2:245" ht="11" customHeight="1">
      <c r="B3" s="60" t="s">
        <v>5</v>
      </c>
      <c r="I3" s="61" t="s">
        <v>6</v>
      </c>
      <c r="J3" s="117">
        <f>Application!I13 Application!I13</f>
        <v>44837</v>
      </c>
      <c r="K3" s="62"/>
      <c r="II3" s="59" t="s">
        <v>7</v>
      </c>
    </row>
    <row r="4" spans="2:245" ht="14" customHeight="1">
      <c r="B4" s="60" t="s">
        <v>8</v>
      </c>
      <c r="I4" s="96" t="s">
        <v>112</v>
      </c>
      <c r="J4" s="118" t="str">
        <f>Application!I16</f>
        <v>03011</v>
      </c>
      <c r="K4" s="62"/>
      <c r="II4" s="59" t="s">
        <v>9</v>
      </c>
      <c r="IJ4" s="62"/>
      <c r="IK4" s="62"/>
    </row>
    <row r="5" spans="2:245">
      <c r="B5" s="60" t="s">
        <v>10</v>
      </c>
      <c r="I5" s="61" t="s">
        <v>57</v>
      </c>
      <c r="J5" s="62"/>
      <c r="K5" s="62"/>
      <c r="II5" s="59" t="s">
        <v>11</v>
      </c>
      <c r="IJ5" s="62"/>
      <c r="IK5" s="62"/>
    </row>
    <row r="6" spans="2:245">
      <c r="II6" s="59" t="s">
        <v>12</v>
      </c>
      <c r="IJ6" s="62"/>
      <c r="IK6" s="62"/>
    </row>
    <row r="7" spans="2:245">
      <c r="B7" s="63" t="s">
        <v>13</v>
      </c>
      <c r="C7" s="63" t="s">
        <v>14</v>
      </c>
      <c r="D7" s="63" t="s">
        <v>15</v>
      </c>
      <c r="E7" s="63" t="s">
        <v>16</v>
      </c>
      <c r="F7" s="63" t="s">
        <v>17</v>
      </c>
      <c r="G7" s="63" t="s">
        <v>18</v>
      </c>
      <c r="H7" s="64" t="s">
        <v>19</v>
      </c>
      <c r="I7" s="65"/>
      <c r="J7" s="64" t="s">
        <v>20</v>
      </c>
      <c r="K7" s="66" t="s">
        <v>21</v>
      </c>
      <c r="II7" s="59" t="s">
        <v>22</v>
      </c>
    </row>
    <row r="8" spans="2:245" ht="25">
      <c r="B8" s="106" t="s">
        <v>132</v>
      </c>
      <c r="C8" s="67" t="s">
        <v>23</v>
      </c>
      <c r="D8" s="106" t="s">
        <v>133</v>
      </c>
      <c r="E8" s="68" t="s">
        <v>24</v>
      </c>
      <c r="F8" s="69"/>
      <c r="G8" s="67" t="s">
        <v>25</v>
      </c>
      <c r="H8" s="67" t="s">
        <v>26</v>
      </c>
      <c r="I8" s="67" t="s">
        <v>27</v>
      </c>
      <c r="J8" s="70" t="s">
        <v>28</v>
      </c>
      <c r="K8" s="71" t="s">
        <v>29</v>
      </c>
    </row>
    <row r="9" spans="2:245" ht="18" customHeight="1">
      <c r="B9" s="72" t="s">
        <v>57</v>
      </c>
      <c r="C9" s="73"/>
      <c r="D9" s="67" t="s">
        <v>57</v>
      </c>
      <c r="E9" s="67" t="s">
        <v>30</v>
      </c>
      <c r="F9" s="67" t="s">
        <v>31</v>
      </c>
      <c r="G9" s="67" t="s">
        <v>32</v>
      </c>
      <c r="H9" s="67" t="s">
        <v>33</v>
      </c>
      <c r="I9" s="67" t="s">
        <v>34</v>
      </c>
      <c r="J9" s="70" t="s">
        <v>35</v>
      </c>
      <c r="K9" s="74" t="s">
        <v>36</v>
      </c>
    </row>
    <row r="10" spans="2:245" ht="9.75" customHeight="1">
      <c r="B10" s="73"/>
      <c r="C10" s="73"/>
      <c r="D10" s="73"/>
      <c r="E10" s="67" t="s">
        <v>37</v>
      </c>
      <c r="F10" s="73"/>
      <c r="G10" s="67" t="s">
        <v>38</v>
      </c>
      <c r="H10" s="67" t="s">
        <v>39</v>
      </c>
      <c r="I10" s="73"/>
      <c r="J10" s="70" t="s">
        <v>40</v>
      </c>
      <c r="K10" s="71" t="s">
        <v>41</v>
      </c>
    </row>
    <row r="11" spans="2:245" ht="9.75" customHeight="1">
      <c r="B11" s="73"/>
      <c r="C11" s="73"/>
      <c r="D11" s="73"/>
      <c r="E11" s="67" t="s">
        <v>42</v>
      </c>
      <c r="F11" s="73"/>
      <c r="G11" s="67" t="s">
        <v>43</v>
      </c>
      <c r="H11" s="67" t="s">
        <v>44</v>
      </c>
      <c r="I11" s="73"/>
      <c r="J11" s="73"/>
      <c r="K11" s="75"/>
    </row>
    <row r="12" spans="2:245" ht="9.75" customHeight="1">
      <c r="B12" s="76"/>
      <c r="C12" s="76"/>
      <c r="D12" s="76"/>
      <c r="E12" s="76"/>
      <c r="F12" s="76"/>
      <c r="G12" s="77" t="s">
        <v>45</v>
      </c>
      <c r="H12" s="77" t="s">
        <v>46</v>
      </c>
      <c r="I12" s="76"/>
      <c r="J12" s="76"/>
      <c r="K12" s="78"/>
    </row>
    <row r="13" spans="2:245">
      <c r="B13" s="110">
        <v>1</v>
      </c>
      <c r="C13" s="130" t="s">
        <v>139</v>
      </c>
      <c r="D13" s="111">
        <v>410</v>
      </c>
      <c r="E13" s="111">
        <f>D13</f>
        <v>410</v>
      </c>
      <c r="F13" s="111" t="s">
        <v>57</v>
      </c>
      <c r="G13" s="111"/>
      <c r="H13" s="112">
        <f>IF(E13+F13+G13=0,"",E13+F13+G13)</f>
        <v>410</v>
      </c>
      <c r="I13" s="113">
        <f>H13/D13</f>
        <v>1</v>
      </c>
      <c r="J13" s="112" t="str">
        <f t="shared" ref="J13:J39" si="0">IF(D13-H13=0,"",D13-H13)</f>
        <v/>
      </c>
      <c r="K13" s="114">
        <f>H13*10%*0</f>
        <v>0</v>
      </c>
    </row>
    <row r="14" spans="2:245">
      <c r="B14" s="110">
        <v>2</v>
      </c>
      <c r="C14" s="130" t="s">
        <v>140</v>
      </c>
      <c r="D14" s="111">
        <v>33746</v>
      </c>
      <c r="E14" s="111">
        <v>33746</v>
      </c>
      <c r="F14" s="132"/>
      <c r="G14" s="111"/>
      <c r="H14" s="112">
        <f>IF(E14+F14+G14=0,"",E14+F14+G14)</f>
        <v>33746</v>
      </c>
      <c r="I14" s="113">
        <f t="shared" ref="I14:I41" si="1">H14/D14</f>
        <v>1</v>
      </c>
      <c r="J14" s="112" t="str">
        <f t="shared" si="0"/>
        <v/>
      </c>
      <c r="K14" s="114">
        <f t="shared" ref="K14:K39" si="2">H14*10%*0</f>
        <v>0</v>
      </c>
    </row>
    <row r="15" spans="2:245">
      <c r="B15" s="110">
        <v>3</v>
      </c>
      <c r="C15" s="130" t="s">
        <v>141</v>
      </c>
      <c r="D15" s="111">
        <v>41370</v>
      </c>
      <c r="E15" s="111">
        <f>D15*95%</f>
        <v>39301.5</v>
      </c>
      <c r="F15" s="132" t="s">
        <v>57</v>
      </c>
      <c r="G15" s="111" t="s">
        <v>57</v>
      </c>
      <c r="H15" s="112">
        <f t="shared" ref="H15:H39" si="3">IF(E15+F15+G15=0,"",E15+F15+G15)</f>
        <v>39301.5</v>
      </c>
      <c r="I15" s="113">
        <f t="shared" si="1"/>
        <v>0.95</v>
      </c>
      <c r="J15" s="112">
        <f t="shared" si="0"/>
        <v>2068.5</v>
      </c>
      <c r="K15" s="114">
        <f t="shared" si="2"/>
        <v>0</v>
      </c>
    </row>
    <row r="16" spans="2:245">
      <c r="B16" s="110">
        <v>4</v>
      </c>
      <c r="C16" s="130" t="s">
        <v>142</v>
      </c>
      <c r="D16" s="111">
        <v>22241</v>
      </c>
      <c r="E16" s="111">
        <f>D16*40%</f>
        <v>8896.4</v>
      </c>
      <c r="F16" s="132"/>
      <c r="G16" s="111"/>
      <c r="H16" s="112">
        <f t="shared" si="3"/>
        <v>8896.4</v>
      </c>
      <c r="I16" s="113">
        <f t="shared" si="1"/>
        <v>0.39999999999999997</v>
      </c>
      <c r="J16" s="112">
        <f t="shared" si="0"/>
        <v>13344.6</v>
      </c>
      <c r="K16" s="114">
        <f t="shared" si="2"/>
        <v>0</v>
      </c>
    </row>
    <row r="17" spans="2:11">
      <c r="B17" s="122">
        <v>5</v>
      </c>
      <c r="C17" s="130" t="s">
        <v>143</v>
      </c>
      <c r="D17" s="127">
        <v>10710</v>
      </c>
      <c r="E17" s="111">
        <f>D17*35%</f>
        <v>3748.4999999999995</v>
      </c>
      <c r="F17" s="111" t="s">
        <v>57</v>
      </c>
      <c r="G17" s="111"/>
      <c r="H17" s="112">
        <f t="shared" si="3"/>
        <v>3748.4999999999995</v>
      </c>
      <c r="I17" s="113">
        <f t="shared" si="1"/>
        <v>0.35</v>
      </c>
      <c r="J17" s="112">
        <f t="shared" si="0"/>
        <v>6961.5</v>
      </c>
      <c r="K17" s="114">
        <f t="shared" si="2"/>
        <v>0</v>
      </c>
    </row>
    <row r="18" spans="2:11">
      <c r="B18" s="122">
        <v>6</v>
      </c>
      <c r="C18" s="121" t="s">
        <v>144</v>
      </c>
      <c r="D18" s="127">
        <v>19085</v>
      </c>
      <c r="E18" s="111"/>
      <c r="F18" s="111"/>
      <c r="G18" s="111"/>
      <c r="H18" s="112" t="str">
        <f t="shared" si="3"/>
        <v/>
      </c>
      <c r="I18" s="113">
        <f t="shared" si="1"/>
        <v>0</v>
      </c>
      <c r="J18" s="112">
        <f t="shared" si="0"/>
        <v>19085</v>
      </c>
      <c r="K18" s="114">
        <f t="shared" si="2"/>
        <v>0</v>
      </c>
    </row>
    <row r="19" spans="2:11">
      <c r="B19" s="110">
        <v>7</v>
      </c>
      <c r="C19" s="123" t="s">
        <v>156</v>
      </c>
      <c r="D19" s="111">
        <v>3451</v>
      </c>
      <c r="E19" s="111"/>
      <c r="F19" s="111"/>
      <c r="G19" s="111"/>
      <c r="H19" s="112" t="str">
        <f t="shared" si="3"/>
        <v/>
      </c>
      <c r="I19" s="113">
        <f t="shared" si="1"/>
        <v>0</v>
      </c>
      <c r="J19" s="112">
        <f t="shared" si="0"/>
        <v>3451</v>
      </c>
      <c r="K19" s="114">
        <f t="shared" si="2"/>
        <v>0</v>
      </c>
    </row>
    <row r="20" spans="2:11">
      <c r="B20" s="122">
        <v>8</v>
      </c>
      <c r="C20" s="121" t="s">
        <v>145</v>
      </c>
      <c r="D20" s="127">
        <v>49805.7</v>
      </c>
      <c r="E20" s="111">
        <f>D20*36%</f>
        <v>17930.052</v>
      </c>
      <c r="F20" s="111"/>
      <c r="G20" s="111"/>
      <c r="H20" s="112">
        <f t="shared" si="3"/>
        <v>17930.052</v>
      </c>
      <c r="I20" s="113">
        <f t="shared" si="1"/>
        <v>0.36000000000000004</v>
      </c>
      <c r="J20" s="112">
        <f t="shared" si="0"/>
        <v>31875.647999999997</v>
      </c>
      <c r="K20" s="114">
        <f t="shared" si="2"/>
        <v>0</v>
      </c>
    </row>
    <row r="21" spans="2:11" ht="15">
      <c r="B21" s="122">
        <v>9</v>
      </c>
      <c r="C21" s="133" t="s">
        <v>157</v>
      </c>
      <c r="D21" s="127">
        <v>106675.9</v>
      </c>
      <c r="E21" s="111">
        <f>D21*32%</f>
        <v>34136.288</v>
      </c>
      <c r="F21" s="111"/>
      <c r="G21" s="111"/>
      <c r="H21" s="112">
        <f t="shared" si="3"/>
        <v>34136.288</v>
      </c>
      <c r="I21" s="113">
        <f t="shared" si="1"/>
        <v>0.32</v>
      </c>
      <c r="J21" s="112">
        <f t="shared" si="0"/>
        <v>72539.611999999994</v>
      </c>
      <c r="K21" s="114">
        <f t="shared" si="2"/>
        <v>0</v>
      </c>
    </row>
    <row r="22" spans="2:11" ht="15">
      <c r="B22" s="122">
        <v>11</v>
      </c>
      <c r="C22" s="124" t="s">
        <v>146</v>
      </c>
      <c r="D22" s="127">
        <v>17697</v>
      </c>
      <c r="E22" s="111">
        <f>D22*30%</f>
        <v>5309.0999999999995</v>
      </c>
      <c r="F22" s="111"/>
      <c r="G22" s="111"/>
      <c r="H22" s="112">
        <f t="shared" si="3"/>
        <v>5309.0999999999995</v>
      </c>
      <c r="I22" s="113">
        <f t="shared" si="1"/>
        <v>0.3</v>
      </c>
      <c r="J22" s="112">
        <f t="shared" si="0"/>
        <v>12387.900000000001</v>
      </c>
      <c r="K22" s="114">
        <f t="shared" si="2"/>
        <v>0</v>
      </c>
    </row>
    <row r="23" spans="2:11" ht="15">
      <c r="B23" s="122">
        <v>12</v>
      </c>
      <c r="C23" s="124" t="s">
        <v>147</v>
      </c>
      <c r="D23" s="127">
        <v>1600</v>
      </c>
      <c r="E23" s="111"/>
      <c r="F23" s="111"/>
      <c r="G23" s="111"/>
      <c r="H23" s="112" t="str">
        <f t="shared" si="3"/>
        <v/>
      </c>
      <c r="I23" s="113">
        <f t="shared" si="1"/>
        <v>0</v>
      </c>
      <c r="J23" s="112">
        <f t="shared" si="0"/>
        <v>1600</v>
      </c>
      <c r="K23" s="114">
        <f t="shared" si="2"/>
        <v>0</v>
      </c>
    </row>
    <row r="24" spans="2:11">
      <c r="B24" s="110">
        <v>13</v>
      </c>
      <c r="C24" s="125" t="s">
        <v>148</v>
      </c>
      <c r="D24" s="111">
        <v>7177.5</v>
      </c>
      <c r="E24" s="111">
        <f>D24*100%</f>
        <v>7177.5</v>
      </c>
      <c r="F24" s="111"/>
      <c r="G24" s="111"/>
      <c r="H24" s="112">
        <f t="shared" si="3"/>
        <v>7177.5</v>
      </c>
      <c r="I24" s="113">
        <f t="shared" si="1"/>
        <v>1</v>
      </c>
      <c r="J24" s="112" t="str">
        <f t="shared" si="0"/>
        <v/>
      </c>
      <c r="K24" s="114">
        <f t="shared" si="2"/>
        <v>0</v>
      </c>
    </row>
    <row r="25" spans="2:11">
      <c r="B25" s="110">
        <v>14</v>
      </c>
      <c r="C25" s="125" t="s">
        <v>149</v>
      </c>
      <c r="D25" s="111">
        <v>202797</v>
      </c>
      <c r="E25" s="111">
        <f>D25*80%</f>
        <v>162237.6</v>
      </c>
      <c r="F25" s="111"/>
      <c r="G25" s="111"/>
      <c r="H25" s="112">
        <f t="shared" si="3"/>
        <v>162237.6</v>
      </c>
      <c r="I25" s="113">
        <f t="shared" si="1"/>
        <v>0.8</v>
      </c>
      <c r="J25" s="112">
        <f t="shared" si="0"/>
        <v>40559.399999999994</v>
      </c>
      <c r="K25" s="114">
        <f t="shared" si="2"/>
        <v>0</v>
      </c>
    </row>
    <row r="26" spans="2:11">
      <c r="B26" s="110">
        <v>15</v>
      </c>
      <c r="C26" s="125" t="s">
        <v>150</v>
      </c>
      <c r="D26" s="111">
        <v>11209.2</v>
      </c>
      <c r="E26" s="111">
        <f>D26*25%</f>
        <v>2802.3</v>
      </c>
      <c r="F26" s="111"/>
      <c r="G26" s="111"/>
      <c r="H26" s="112">
        <f t="shared" si="3"/>
        <v>2802.3</v>
      </c>
      <c r="I26" s="113">
        <f t="shared" si="1"/>
        <v>0.25</v>
      </c>
      <c r="J26" s="112">
        <f t="shared" si="0"/>
        <v>8406.9000000000015</v>
      </c>
      <c r="K26" s="114">
        <f t="shared" si="2"/>
        <v>0</v>
      </c>
    </row>
    <row r="27" spans="2:11">
      <c r="B27" s="110">
        <v>16</v>
      </c>
      <c r="C27" s="125" t="s">
        <v>151</v>
      </c>
      <c r="D27" s="111">
        <v>161525.79999999999</v>
      </c>
      <c r="E27" s="111">
        <f>D27*70%</f>
        <v>113068.05999999998</v>
      </c>
      <c r="F27" s="111"/>
      <c r="G27" s="111"/>
      <c r="H27" s="112">
        <f t="shared" si="3"/>
        <v>113068.05999999998</v>
      </c>
      <c r="I27" s="113">
        <f t="shared" si="1"/>
        <v>0.7</v>
      </c>
      <c r="J27" s="112">
        <f t="shared" si="0"/>
        <v>48457.740000000005</v>
      </c>
      <c r="K27" s="114">
        <f t="shared" si="2"/>
        <v>0</v>
      </c>
    </row>
    <row r="28" spans="2:11">
      <c r="B28" s="110">
        <v>17</v>
      </c>
      <c r="C28" s="125" t="s">
        <v>152</v>
      </c>
      <c r="D28" s="111">
        <v>6268</v>
      </c>
      <c r="E28" s="111"/>
      <c r="F28" s="111"/>
      <c r="G28" s="111"/>
      <c r="H28" s="112" t="str">
        <f t="shared" si="3"/>
        <v/>
      </c>
      <c r="I28" s="113">
        <f t="shared" si="1"/>
        <v>0</v>
      </c>
      <c r="J28" s="112">
        <f t="shared" si="0"/>
        <v>6268</v>
      </c>
      <c r="K28" s="114">
        <f t="shared" si="2"/>
        <v>0</v>
      </c>
    </row>
    <row r="29" spans="2:11">
      <c r="B29" s="110">
        <v>18</v>
      </c>
      <c r="C29" s="125" t="s">
        <v>153</v>
      </c>
      <c r="D29" s="111">
        <v>26413</v>
      </c>
      <c r="E29" s="111">
        <f>D29*41%</f>
        <v>10829.33</v>
      </c>
      <c r="F29" s="111"/>
      <c r="G29" s="111"/>
      <c r="H29" s="112">
        <f t="shared" si="3"/>
        <v>10829.33</v>
      </c>
      <c r="I29" s="113">
        <f t="shared" si="1"/>
        <v>0.41</v>
      </c>
      <c r="J29" s="112">
        <f t="shared" si="0"/>
        <v>15583.67</v>
      </c>
      <c r="K29" s="114">
        <f t="shared" si="2"/>
        <v>0</v>
      </c>
    </row>
    <row r="30" spans="2:11">
      <c r="B30" s="110">
        <v>19</v>
      </c>
      <c r="C30" s="125" t="s">
        <v>154</v>
      </c>
      <c r="D30" s="111">
        <v>25347</v>
      </c>
      <c r="E30" s="111">
        <f>D30*41%</f>
        <v>10392.269999999999</v>
      </c>
      <c r="F30" s="111"/>
      <c r="G30" s="111"/>
      <c r="H30" s="112">
        <f t="shared" si="3"/>
        <v>10392.269999999999</v>
      </c>
      <c r="I30" s="113">
        <f t="shared" si="1"/>
        <v>0.40999999999999992</v>
      </c>
      <c r="J30" s="112">
        <f t="shared" si="0"/>
        <v>14954.730000000001</v>
      </c>
      <c r="K30" s="114">
        <f t="shared" si="2"/>
        <v>0</v>
      </c>
    </row>
    <row r="31" spans="2:11">
      <c r="B31" s="110">
        <v>20</v>
      </c>
      <c r="C31" s="125" t="s">
        <v>155</v>
      </c>
      <c r="D31" s="111">
        <v>34253</v>
      </c>
      <c r="E31" s="111">
        <f>D31*41%</f>
        <v>14043.73</v>
      </c>
      <c r="F31" s="111"/>
      <c r="G31" s="111"/>
      <c r="H31" s="112">
        <f t="shared" si="3"/>
        <v>14043.73</v>
      </c>
      <c r="I31" s="113">
        <f t="shared" si="1"/>
        <v>0.41</v>
      </c>
      <c r="J31" s="112">
        <f t="shared" si="0"/>
        <v>20209.27</v>
      </c>
      <c r="K31" s="114">
        <f t="shared" si="2"/>
        <v>0</v>
      </c>
    </row>
    <row r="32" spans="2:11">
      <c r="B32" s="110">
        <v>21</v>
      </c>
      <c r="C32" s="125" t="s">
        <v>159</v>
      </c>
      <c r="D32" s="111">
        <v>-147685</v>
      </c>
      <c r="E32" s="111">
        <f>D32*100%</f>
        <v>-147685</v>
      </c>
      <c r="F32" s="111"/>
      <c r="G32" s="111"/>
      <c r="H32" s="112">
        <f t="shared" si="3"/>
        <v>-147685</v>
      </c>
      <c r="I32" s="113">
        <f t="shared" si="1"/>
        <v>1</v>
      </c>
      <c r="J32" s="112" t="str">
        <f t="shared" si="0"/>
        <v/>
      </c>
      <c r="K32" s="114">
        <f t="shared" si="2"/>
        <v>0</v>
      </c>
    </row>
    <row r="33" spans="2:11">
      <c r="B33" s="110">
        <v>22</v>
      </c>
      <c r="C33" s="125" t="s">
        <v>160</v>
      </c>
      <c r="D33" s="111">
        <v>22356</v>
      </c>
      <c r="E33" s="111">
        <f>D33*100%</f>
        <v>22356</v>
      </c>
      <c r="F33" s="111"/>
      <c r="G33" s="111"/>
      <c r="H33" s="112">
        <f t="shared" si="3"/>
        <v>22356</v>
      </c>
      <c r="I33" s="113">
        <f t="shared" si="1"/>
        <v>1</v>
      </c>
      <c r="J33" s="112" t="str">
        <f t="shared" si="0"/>
        <v/>
      </c>
      <c r="K33" s="114">
        <f t="shared" si="2"/>
        <v>0</v>
      </c>
    </row>
    <row r="34" spans="2:11">
      <c r="B34" s="110">
        <v>23</v>
      </c>
      <c r="C34" s="125" t="s">
        <v>161</v>
      </c>
      <c r="D34" s="111">
        <v>35327</v>
      </c>
      <c r="E34" s="111">
        <f>D34*100%</f>
        <v>35327</v>
      </c>
      <c r="F34" s="111"/>
      <c r="G34" s="111"/>
      <c r="H34" s="112">
        <f t="shared" si="3"/>
        <v>35327</v>
      </c>
      <c r="I34" s="113">
        <f t="shared" si="1"/>
        <v>1</v>
      </c>
      <c r="J34" s="112" t="str">
        <f t="shared" si="0"/>
        <v/>
      </c>
      <c r="K34" s="114">
        <f t="shared" si="2"/>
        <v>0</v>
      </c>
    </row>
    <row r="35" spans="2:11">
      <c r="B35" s="110">
        <v>24</v>
      </c>
      <c r="C35" s="125" t="s">
        <v>162</v>
      </c>
      <c r="D35" s="111">
        <v>8868</v>
      </c>
      <c r="E35" s="111">
        <f>D35*100%</f>
        <v>8868</v>
      </c>
      <c r="F35" s="111"/>
      <c r="G35" s="111"/>
      <c r="H35" s="112">
        <f t="shared" si="3"/>
        <v>8868</v>
      </c>
      <c r="I35" s="113">
        <f t="shared" si="1"/>
        <v>1</v>
      </c>
      <c r="J35" s="112" t="str">
        <f t="shared" si="0"/>
        <v/>
      </c>
      <c r="K35" s="114">
        <f t="shared" si="2"/>
        <v>0</v>
      </c>
    </row>
    <row r="36" spans="2:11">
      <c r="B36" s="110">
        <v>25</v>
      </c>
      <c r="C36" s="125" t="s">
        <v>158</v>
      </c>
      <c r="D36" s="111">
        <v>10889</v>
      </c>
      <c r="E36" s="111">
        <f>D36*100%</f>
        <v>10889</v>
      </c>
      <c r="F36" s="111"/>
      <c r="G36" s="111"/>
      <c r="H36" s="112">
        <f t="shared" si="3"/>
        <v>10889</v>
      </c>
      <c r="I36" s="113">
        <f t="shared" si="1"/>
        <v>1</v>
      </c>
      <c r="J36" s="112" t="str">
        <f t="shared" si="0"/>
        <v/>
      </c>
      <c r="K36" s="114">
        <f t="shared" si="2"/>
        <v>0</v>
      </c>
    </row>
    <row r="37" spans="2:11">
      <c r="B37" s="110">
        <v>26</v>
      </c>
      <c r="C37" s="125" t="s">
        <v>163</v>
      </c>
      <c r="D37" s="111">
        <v>15953</v>
      </c>
      <c r="E37" s="111">
        <f>D37</f>
        <v>15953</v>
      </c>
      <c r="F37" s="111"/>
      <c r="G37" s="111"/>
      <c r="H37" s="112">
        <f t="shared" si="3"/>
        <v>15953</v>
      </c>
      <c r="I37" s="113">
        <f t="shared" si="1"/>
        <v>1</v>
      </c>
      <c r="J37" s="112" t="str">
        <f t="shared" si="0"/>
        <v/>
      </c>
      <c r="K37" s="114">
        <f t="shared" si="2"/>
        <v>0</v>
      </c>
    </row>
    <row r="38" spans="2:11" ht="30">
      <c r="B38" s="134">
        <v>27</v>
      </c>
      <c r="C38" s="124" t="s">
        <v>164</v>
      </c>
      <c r="D38" s="127">
        <v>76154</v>
      </c>
      <c r="E38" s="127">
        <f>D38</f>
        <v>76154</v>
      </c>
      <c r="F38" s="111"/>
      <c r="G38" s="111"/>
      <c r="H38" s="127">
        <f t="shared" si="3"/>
        <v>76154</v>
      </c>
      <c r="I38" s="135">
        <f t="shared" si="1"/>
        <v>1</v>
      </c>
      <c r="J38" s="112" t="str">
        <f t="shared" si="0"/>
        <v/>
      </c>
      <c r="K38" s="136">
        <f t="shared" si="2"/>
        <v>0</v>
      </c>
    </row>
    <row r="39" spans="2:11">
      <c r="B39" s="134">
        <v>28</v>
      </c>
      <c r="C39" s="125" t="s">
        <v>165</v>
      </c>
      <c r="D39" s="127">
        <v>32270</v>
      </c>
      <c r="E39" s="127"/>
      <c r="F39" s="111">
        <f>D39</f>
        <v>32270</v>
      </c>
      <c r="G39" s="111"/>
      <c r="H39" s="127">
        <f t="shared" si="3"/>
        <v>32270</v>
      </c>
      <c r="I39" s="135">
        <f t="shared" si="1"/>
        <v>1</v>
      </c>
      <c r="J39" s="112" t="str">
        <f t="shared" si="0"/>
        <v/>
      </c>
      <c r="K39" s="114">
        <f t="shared" si="2"/>
        <v>0</v>
      </c>
    </row>
    <row r="40" spans="2:11">
      <c r="B40" s="110"/>
      <c r="C40" s="126"/>
      <c r="D40" s="114"/>
      <c r="E40" s="111"/>
      <c r="F40" s="111"/>
      <c r="G40" s="111"/>
      <c r="H40" s="112"/>
      <c r="I40" s="113"/>
      <c r="J40" s="112"/>
      <c r="K40" s="114"/>
    </row>
    <row r="41" spans="2:11" ht="1" hidden="1" customHeight="1">
      <c r="B41" s="79"/>
      <c r="C41" s="109"/>
      <c r="D41" s="89"/>
      <c r="E41" s="80"/>
      <c r="F41" s="111">
        <f t="shared" ref="F41" si="4">D41*23%</f>
        <v>0</v>
      </c>
      <c r="G41" s="92"/>
      <c r="H41" s="81"/>
      <c r="I41" s="113" t="e">
        <f t="shared" si="1"/>
        <v>#DIV/0!</v>
      </c>
      <c r="J41" s="81"/>
      <c r="K41" s="82"/>
    </row>
    <row r="42" spans="2:11">
      <c r="B42" s="83"/>
      <c r="C42" s="84" t="s">
        <v>47</v>
      </c>
      <c r="D42" s="131">
        <f>SUM(D13:D40)</f>
        <v>835914.09999999986</v>
      </c>
      <c r="E42" s="97">
        <f>SUM(E13:E40)</f>
        <v>485890.63</v>
      </c>
      <c r="F42" s="97">
        <f>SUM(F13:F40)</f>
        <v>32270</v>
      </c>
      <c r="G42" s="97">
        <f>SUM(G13:G40)</f>
        <v>0</v>
      </c>
      <c r="H42" s="97">
        <f>SUM(H13:H40)</f>
        <v>518160.63</v>
      </c>
      <c r="I42" s="98">
        <f>IF(H42=0,"",IF(ISERR(H42/D42),"",H42/D42))</f>
        <v>0.61987305872696741</v>
      </c>
      <c r="J42" s="97">
        <f>SUM(J13:J40)</f>
        <v>317753.46999999997</v>
      </c>
      <c r="K42" s="93">
        <f>SUM(K13:K40)</f>
        <v>0</v>
      </c>
    </row>
    <row r="43" spans="2:11" ht="12.75" customHeight="1" thickBot="1">
      <c r="B43" s="85"/>
      <c r="C43" s="85"/>
      <c r="D43" s="85"/>
      <c r="E43" s="85"/>
      <c r="F43" s="85"/>
      <c r="G43" s="85"/>
      <c r="H43" s="85"/>
      <c r="I43" s="86"/>
      <c r="J43" s="85"/>
      <c r="K43" s="87"/>
    </row>
    <row r="44" spans="2:11" ht="12.75" customHeight="1">
      <c r="B44" s="88"/>
      <c r="E44" s="89"/>
      <c r="F44" s="89"/>
      <c r="G44" s="89"/>
      <c r="I44" s="90"/>
    </row>
    <row r="45" spans="2:11">
      <c r="B45" s="91"/>
      <c r="F45" s="108"/>
      <c r="G45" s="52" t="s">
        <v>57</v>
      </c>
      <c r="I45" s="90"/>
    </row>
    <row r="46" spans="2:11">
      <c r="D46" s="52" t="s">
        <v>57</v>
      </c>
      <c r="F46" s="108" t="s">
        <v>57</v>
      </c>
      <c r="J46" s="103"/>
      <c r="K46" s="103"/>
    </row>
    <row r="47" spans="2:11">
      <c r="G47" s="52" t="s">
        <v>57</v>
      </c>
      <c r="H47" s="108" t="s">
        <v>57</v>
      </c>
    </row>
  </sheetData>
  <sheetProtection password="D5F3"/>
  <phoneticPr fontId="21" type="noConversion"/>
  <printOptions gridLinesSet="0"/>
  <pageMargins left="0.1" right="0.1" top="0.6" bottom="0.69" header="0.5" footer="0.5"/>
  <pageSetup scale="65" orientation="landscape" horizontalDpi="4294967292" verticalDpi="4294967292"/>
  <headerFooter alignWithMargins="0">
    <oddFooter>&amp;L&amp;"Arial"&amp;6AIA DOCUMENT G703 · CONTINUATION SHEET FOR G702 · 1992 EDITION · AIA · ©1992
THE AMERICAN INSTITUTE OF ARCHITECTS, 1735 NEW YORK AVENUE, N.W. WASHINGTON, D.C.  20006-5232&amp;R&amp;"Arial"&amp;8&amp;BG703-1992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Application</vt:lpstr>
      <vt:lpstr>Continuation Sheet</vt:lpstr>
      <vt:lpstr>Application!Print_Area</vt:lpstr>
      <vt:lpstr>'Continuation Sheet'!Print_Area</vt:lpstr>
      <vt:lpstr>'Continuation Sheet'!Print_Area_MI</vt:lpstr>
      <vt:lpstr>Print_Area_MI</vt:lpstr>
      <vt:lpstr>'Continuation Sheet'!Print_Titles</vt:lpstr>
      <vt:lpstr>'Continuation Sheet'!Print_Titles_MI</vt:lpstr>
      <vt:lpstr>Print_Titles_MI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Bainsdev</dc:creator>
  <cp:lastModifiedBy>Rohit Sharma</cp:lastModifiedBy>
  <cp:lastPrinted>2022-10-04T00:26:07Z</cp:lastPrinted>
  <dcterms:created xsi:type="dcterms:W3CDTF">2000-05-30T20:47:37Z</dcterms:created>
  <dcterms:modified xsi:type="dcterms:W3CDTF">2022-10-04T00:30:09Z</dcterms:modified>
</cp:coreProperties>
</file>