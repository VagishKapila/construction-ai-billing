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2"/>
  <workbookPr/>
  <mc:AlternateContent xmlns:mc="http://schemas.openxmlformats.org/markup-compatibility/2006">
    <mc:Choice Requires="x15">
      <x15ac:absPath xmlns:x15ac="http://schemas.microsoft.com/office/spreadsheetml/2010/11/ac" url="/Users/vagkapi/Desktop/constructai-billing/backend/"/>
    </mc:Choice>
  </mc:AlternateContent>
  <xr:revisionPtr revIDLastSave="0" documentId="13_ncr:1_{9891F3BB-2783-624F-B31B-84D8A1EC3F6A}" xr6:coauthVersionLast="47" xr6:coauthVersionMax="47" xr10:uidLastSave="{00000000-0000-0000-0000-000000000000}"/>
  <bookViews>
    <workbookView xWindow="1380" yWindow="1560" windowWidth="26400" windowHeight="16440" tabRatio="742" xr2:uid="{00000000-000D-0000-FFFF-FFFF00000000}"/>
  </bookViews>
  <sheets>
    <sheet name="Systems Summary" sheetId="1" r:id="rId1"/>
    <sheet name="Building Summary" sheetId="8" r:id="rId2"/>
    <sheet name="Building Detail" sheetId="9" r:id="rId3"/>
    <sheet name="General Conditions" sheetId="10" r:id="rId4"/>
    <sheet name="Off-Site Summary" sheetId="2" r:id="rId5"/>
    <sheet name="Off-Site Detail" sheetId="3" r:id="rId6"/>
    <sheet name="Site Summary" sheetId="4" r:id="rId7"/>
    <sheet name="Site Detail" sheetId="5" r:id="rId8"/>
    <sheet name="Garage Summary" sheetId="6" r:id="rId9"/>
    <sheet name="Garage Detail" sheetId="7" r:id="rId10"/>
    <sheet name="Takeoffs" sheetId="11" r:id="rId11"/>
  </sheets>
  <definedNames>
    <definedName name="_xlnm.Print_Area" localSheetId="2">'Building Detail'!$A$1:$J$189</definedName>
    <definedName name="_xlnm.Print_Area" localSheetId="0">'Systems Summary'!$A$1:$J$141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H186" i="9" l="1"/>
  <c r="L124" i="1" s="1"/>
  <c r="I36" i="1"/>
  <c r="I123" i="1"/>
  <c r="I117" i="1"/>
  <c r="I90" i="1"/>
  <c r="F90" i="1"/>
  <c r="D90" i="1"/>
  <c r="B90" i="1"/>
  <c r="I89" i="1"/>
  <c r="F89" i="1"/>
  <c r="D89" i="1"/>
  <c r="B89" i="1"/>
  <c r="I88" i="1"/>
  <c r="F88" i="1"/>
  <c r="D88" i="1"/>
  <c r="B88" i="1"/>
  <c r="I87" i="1"/>
  <c r="F87" i="1"/>
  <c r="D87" i="1"/>
  <c r="B87" i="1"/>
  <c r="F31" i="1" l="1"/>
  <c r="F82" i="1"/>
  <c r="I51" i="1"/>
  <c r="F51" i="1"/>
  <c r="D51" i="1"/>
  <c r="B51" i="1"/>
  <c r="F55" i="1"/>
  <c r="F54" i="1"/>
  <c r="F115" i="1"/>
  <c r="D115" i="1"/>
  <c r="B115" i="1"/>
  <c r="H171" i="9"/>
  <c r="I115" i="1" s="1"/>
  <c r="F38" i="1"/>
  <c r="F45" i="1"/>
  <c r="F44" i="1"/>
  <c r="F43" i="1"/>
  <c r="F46" i="1"/>
  <c r="F95" i="1"/>
  <c r="F81" i="1"/>
  <c r="F71" i="1"/>
  <c r="G93" i="9"/>
  <c r="G96" i="10"/>
  <c r="H94" i="9"/>
  <c r="I71" i="1" s="1"/>
  <c r="H56" i="9"/>
  <c r="I47" i="1" s="1"/>
  <c r="H177" i="9"/>
  <c r="H124" i="9"/>
  <c r="H34" i="9"/>
  <c r="I30" i="1" s="1"/>
  <c r="H75" i="9"/>
  <c r="I60" i="1" s="1"/>
  <c r="H72" i="9"/>
  <c r="H140" i="9"/>
  <c r="I98" i="1" s="1"/>
  <c r="H51" i="9"/>
  <c r="F83" i="1"/>
  <c r="H159" i="9"/>
  <c r="H157" i="9"/>
  <c r="H160" i="9" s="1"/>
  <c r="H61" i="9"/>
  <c r="I50" i="1" s="1"/>
  <c r="F42" i="1"/>
  <c r="H27" i="9"/>
  <c r="H26" i="9"/>
  <c r="H35" i="9"/>
  <c r="H36" i="9"/>
  <c r="H37" i="9"/>
  <c r="I33" i="1" s="1"/>
  <c r="H43" i="9"/>
  <c r="H44" i="9"/>
  <c r="H45" i="9"/>
  <c r="I38" i="1" s="1"/>
  <c r="H46" i="9"/>
  <c r="H52" i="9"/>
  <c r="H53" i="9"/>
  <c r="I44" i="1" s="1"/>
  <c r="H54" i="9"/>
  <c r="H55" i="9"/>
  <c r="H69" i="9"/>
  <c r="H70" i="9"/>
  <c r="I55" i="1" s="1"/>
  <c r="H71" i="9"/>
  <c r="H73" i="9"/>
  <c r="H74" i="9"/>
  <c r="I59" i="1" s="1"/>
  <c r="H76" i="9"/>
  <c r="I61" i="1" s="1"/>
  <c r="H83" i="9"/>
  <c r="H84" i="9"/>
  <c r="H85" i="9"/>
  <c r="H86" i="9"/>
  <c r="I67" i="1" s="1"/>
  <c r="H93" i="9"/>
  <c r="I70" i="1" s="1"/>
  <c r="H95" i="9"/>
  <c r="I72" i="1" s="1"/>
  <c r="H102" i="9"/>
  <c r="I75" i="1" s="1"/>
  <c r="H103" i="9"/>
  <c r="H104" i="9"/>
  <c r="H105" i="9"/>
  <c r="I78" i="1" s="1"/>
  <c r="H106" i="9"/>
  <c r="I79" i="1" s="1"/>
  <c r="H107" i="9"/>
  <c r="H108" i="9"/>
  <c r="I81" i="1" s="1"/>
  <c r="H109" i="9"/>
  <c r="H110" i="9"/>
  <c r="H111" i="9"/>
  <c r="H119" i="9"/>
  <c r="H120" i="9"/>
  <c r="H121" i="9"/>
  <c r="H122" i="9"/>
  <c r="H123" i="9"/>
  <c r="G130" i="9"/>
  <c r="H130" i="9"/>
  <c r="H136" i="9" s="1"/>
  <c r="I93" i="1" s="1"/>
  <c r="H131" i="9"/>
  <c r="I95" i="1" s="1"/>
  <c r="H141" i="9"/>
  <c r="H142" i="9"/>
  <c r="H147" i="9"/>
  <c r="H151" i="9"/>
  <c r="H155" i="9" s="1"/>
  <c r="H152" i="9"/>
  <c r="I104" i="1" s="1"/>
  <c r="H169" i="9"/>
  <c r="I113" i="1" s="1"/>
  <c r="H170" i="9"/>
  <c r="I114" i="1" s="1"/>
  <c r="H179" i="9"/>
  <c r="H183" i="9" s="1"/>
  <c r="H163" i="9"/>
  <c r="I110" i="1" s="1"/>
  <c r="H164" i="9"/>
  <c r="H158" i="9"/>
  <c r="I118" i="1"/>
  <c r="J118" i="1" s="1"/>
  <c r="H202" i="3"/>
  <c r="H203" i="3"/>
  <c r="H204" i="3"/>
  <c r="H208" i="3" s="1"/>
  <c r="H205" i="3"/>
  <c r="H208" i="5"/>
  <c r="H209" i="5"/>
  <c r="H216" i="5" s="1"/>
  <c r="H210" i="5"/>
  <c r="H211" i="5"/>
  <c r="H212" i="5"/>
  <c r="H213" i="5"/>
  <c r="H245" i="7"/>
  <c r="H246" i="7"/>
  <c r="H247" i="7"/>
  <c r="H248" i="7"/>
  <c r="H249" i="7"/>
  <c r="H250" i="7"/>
  <c r="H251" i="7"/>
  <c r="H198" i="3"/>
  <c r="H31" i="2" s="1"/>
  <c r="H204" i="5"/>
  <c r="H231" i="7"/>
  <c r="H232" i="7"/>
  <c r="H233" i="7"/>
  <c r="H234" i="7"/>
  <c r="H235" i="7"/>
  <c r="H236" i="7"/>
  <c r="H237" i="7"/>
  <c r="H168" i="3"/>
  <c r="H28" i="2"/>
  <c r="H174" i="5"/>
  <c r="H28" i="4"/>
  <c r="H202" i="7"/>
  <c r="H203" i="7"/>
  <c r="H207" i="7" s="1"/>
  <c r="H102" i="3"/>
  <c r="H103" i="3"/>
  <c r="H108" i="3"/>
  <c r="H108" i="5"/>
  <c r="H109" i="5"/>
  <c r="H110" i="5"/>
  <c r="H111" i="5"/>
  <c r="H105" i="7"/>
  <c r="H106" i="7"/>
  <c r="H107" i="7"/>
  <c r="H108" i="7"/>
  <c r="H114" i="7" s="1"/>
  <c r="H109" i="7"/>
  <c r="H69" i="3"/>
  <c r="H70" i="3"/>
  <c r="H71" i="3"/>
  <c r="H78" i="3" s="1"/>
  <c r="H72" i="3"/>
  <c r="H73" i="3"/>
  <c r="H71" i="5"/>
  <c r="H72" i="5"/>
  <c r="H73" i="5"/>
  <c r="H74" i="5"/>
  <c r="H75" i="5"/>
  <c r="H76" i="5"/>
  <c r="H77" i="5"/>
  <c r="H78" i="5"/>
  <c r="H79" i="5"/>
  <c r="H80" i="5"/>
  <c r="H81" i="5"/>
  <c r="H84" i="5"/>
  <c r="H19" i="4" s="1"/>
  <c r="H69" i="7"/>
  <c r="H70" i="7"/>
  <c r="H71" i="7"/>
  <c r="H79" i="7" s="1"/>
  <c r="H72" i="7"/>
  <c r="H73" i="7"/>
  <c r="H74" i="7"/>
  <c r="H75" i="7"/>
  <c r="H31" i="3"/>
  <c r="H65" i="3" s="1"/>
  <c r="H32" i="3"/>
  <c r="H33" i="3"/>
  <c r="H34" i="3"/>
  <c r="H35" i="3"/>
  <c r="H37" i="3"/>
  <c r="H38" i="3"/>
  <c r="H39" i="3"/>
  <c r="H40" i="3"/>
  <c r="H41" i="3"/>
  <c r="H42" i="3"/>
  <c r="H43" i="3"/>
  <c r="H44" i="3"/>
  <c r="H45" i="3"/>
  <c r="H46" i="3"/>
  <c r="H47" i="3"/>
  <c r="H48" i="3"/>
  <c r="H49" i="3"/>
  <c r="H51" i="3"/>
  <c r="H53" i="3"/>
  <c r="H55" i="3"/>
  <c r="H56" i="3"/>
  <c r="H57" i="3"/>
  <c r="H58" i="3"/>
  <c r="H59" i="3"/>
  <c r="H60" i="3"/>
  <c r="H61" i="3"/>
  <c r="H31" i="5"/>
  <c r="H32" i="5"/>
  <c r="H33" i="5"/>
  <c r="H34" i="5"/>
  <c r="H67" i="5" s="1"/>
  <c r="H35" i="5"/>
  <c r="H37" i="5"/>
  <c r="H38" i="5"/>
  <c r="H39" i="5"/>
  <c r="H40" i="5"/>
  <c r="H41" i="5"/>
  <c r="H42" i="5"/>
  <c r="H43" i="5"/>
  <c r="H44" i="5"/>
  <c r="H45" i="5"/>
  <c r="H46" i="5"/>
  <c r="H47" i="5"/>
  <c r="H48" i="5"/>
  <c r="H49" i="5"/>
  <c r="H50" i="5"/>
  <c r="H52" i="5"/>
  <c r="H54" i="5"/>
  <c r="H56" i="5"/>
  <c r="H57" i="5"/>
  <c r="H58" i="5"/>
  <c r="H59" i="5"/>
  <c r="H60" i="5"/>
  <c r="H61" i="5"/>
  <c r="H62" i="5"/>
  <c r="H63" i="5"/>
  <c r="H31" i="7"/>
  <c r="H65" i="7" s="1"/>
  <c r="H32" i="7"/>
  <c r="H33" i="7"/>
  <c r="H34" i="7"/>
  <c r="H35" i="7"/>
  <c r="H37" i="7"/>
  <c r="H38" i="7"/>
  <c r="H39" i="7"/>
  <c r="H40" i="7"/>
  <c r="H41" i="7"/>
  <c r="H42" i="7"/>
  <c r="H43" i="7"/>
  <c r="H44" i="7"/>
  <c r="H45" i="7"/>
  <c r="H46" i="7"/>
  <c r="H47" i="7"/>
  <c r="H48" i="7"/>
  <c r="H49" i="7"/>
  <c r="H51" i="7"/>
  <c r="H53" i="7"/>
  <c r="H55" i="7"/>
  <c r="H56" i="7"/>
  <c r="H57" i="7"/>
  <c r="H58" i="7"/>
  <c r="H59" i="7"/>
  <c r="H60" i="7"/>
  <c r="H61" i="7"/>
  <c r="H18" i="3"/>
  <c r="H19" i="3"/>
  <c r="H20" i="3"/>
  <c r="H21" i="3"/>
  <c r="H22" i="3"/>
  <c r="H23" i="3"/>
  <c r="H18" i="5"/>
  <c r="H19" i="5"/>
  <c r="H20" i="5"/>
  <c r="H21" i="5"/>
  <c r="H22" i="5"/>
  <c r="H23" i="5"/>
  <c r="H18" i="7"/>
  <c r="H19" i="7"/>
  <c r="H20" i="7"/>
  <c r="H21" i="7"/>
  <c r="H22" i="7"/>
  <c r="H23" i="7"/>
  <c r="H62" i="9"/>
  <c r="H63" i="9"/>
  <c r="I106" i="1"/>
  <c r="F13" i="10"/>
  <c r="G13" i="10" s="1"/>
  <c r="F14" i="10"/>
  <c r="G14" i="10"/>
  <c r="G15" i="10"/>
  <c r="F16" i="10"/>
  <c r="G16" i="10"/>
  <c r="G17" i="10"/>
  <c r="G18" i="10"/>
  <c r="G19" i="10"/>
  <c r="G20" i="10"/>
  <c r="G21" i="10"/>
  <c r="F22" i="10"/>
  <c r="G22" i="10" s="1"/>
  <c r="G23" i="10"/>
  <c r="G24" i="10"/>
  <c r="G25" i="10"/>
  <c r="G26" i="10"/>
  <c r="G27" i="10"/>
  <c r="G30" i="10"/>
  <c r="G31" i="10"/>
  <c r="G32" i="10"/>
  <c r="G33" i="10"/>
  <c r="G34" i="10"/>
  <c r="G35" i="10"/>
  <c r="G36" i="10"/>
  <c r="G37" i="10"/>
  <c r="G38" i="10"/>
  <c r="G39" i="10"/>
  <c r="G40" i="10"/>
  <c r="G41" i="10"/>
  <c r="G42" i="10"/>
  <c r="G43" i="10"/>
  <c r="G44" i="10"/>
  <c r="G47" i="10"/>
  <c r="G48" i="10"/>
  <c r="G49" i="10"/>
  <c r="G50" i="10"/>
  <c r="G53" i="10"/>
  <c r="G54" i="10"/>
  <c r="G55" i="10"/>
  <c r="G56" i="10"/>
  <c r="G57" i="10"/>
  <c r="G58" i="10"/>
  <c r="G61" i="10"/>
  <c r="G62" i="10"/>
  <c r="G63" i="10"/>
  <c r="G64" i="10"/>
  <c r="G65" i="10"/>
  <c r="G66" i="10"/>
  <c r="G67" i="10"/>
  <c r="G68" i="10"/>
  <c r="G69" i="10"/>
  <c r="G70" i="10"/>
  <c r="F71" i="10"/>
  <c r="G71" i="10" s="1"/>
  <c r="G72" i="10"/>
  <c r="G75" i="10"/>
  <c r="G76" i="10"/>
  <c r="G77" i="10"/>
  <c r="G78" i="10"/>
  <c r="G79" i="10"/>
  <c r="G80" i="10"/>
  <c r="G81" i="10"/>
  <c r="G82" i="10"/>
  <c r="G83" i="10"/>
  <c r="G84" i="10"/>
  <c r="G85" i="10"/>
  <c r="G88" i="10"/>
  <c r="G89" i="10"/>
  <c r="G90" i="10"/>
  <c r="G91" i="10"/>
  <c r="G94" i="10"/>
  <c r="G95" i="10"/>
  <c r="G97" i="10"/>
  <c r="G98" i="10"/>
  <c r="G99" i="10"/>
  <c r="G100" i="10"/>
  <c r="G101" i="10"/>
  <c r="G104" i="10"/>
  <c r="G106" i="10"/>
  <c r="I128" i="1"/>
  <c r="H17" i="9"/>
  <c r="I136" i="9" s="1"/>
  <c r="H16" i="9"/>
  <c r="F37" i="1"/>
  <c r="F58" i="1"/>
  <c r="F118" i="1"/>
  <c r="F107" i="1"/>
  <c r="F93" i="1"/>
  <c r="I83" i="1"/>
  <c r="D83" i="1"/>
  <c r="B83" i="1"/>
  <c r="I27" i="1"/>
  <c r="D106" i="1"/>
  <c r="F75" i="1"/>
  <c r="F27" i="1"/>
  <c r="D8" i="9"/>
  <c r="D7" i="9"/>
  <c r="F114" i="1"/>
  <c r="F59" i="1"/>
  <c r="F61" i="1"/>
  <c r="F50" i="1"/>
  <c r="F47" i="1"/>
  <c r="F33" i="1"/>
  <c r="F30" i="1"/>
  <c r="F64" i="1"/>
  <c r="F70" i="1"/>
  <c r="F111" i="1"/>
  <c r="F110" i="1"/>
  <c r="F91" i="1"/>
  <c r="I91" i="1"/>
  <c r="D91" i="1"/>
  <c r="B91" i="1"/>
  <c r="F86" i="1"/>
  <c r="F80" i="1"/>
  <c r="F78" i="1"/>
  <c r="F79" i="1"/>
  <c r="F67" i="1"/>
  <c r="F56" i="1"/>
  <c r="D33" i="1"/>
  <c r="B33" i="1"/>
  <c r="F26" i="1"/>
  <c r="D27" i="1"/>
  <c r="B27" i="1"/>
  <c r="D26" i="1"/>
  <c r="B26" i="1"/>
  <c r="J27" i="1"/>
  <c r="J26" i="1"/>
  <c r="F113" i="1"/>
  <c r="D85" i="1"/>
  <c r="F85" i="1"/>
  <c r="D118" i="1"/>
  <c r="B118" i="1"/>
  <c r="D114" i="1"/>
  <c r="B114" i="1"/>
  <c r="D113" i="1"/>
  <c r="B113" i="1"/>
  <c r="I111" i="1"/>
  <c r="D111" i="1"/>
  <c r="B111" i="1"/>
  <c r="D110" i="1"/>
  <c r="B110" i="1"/>
  <c r="D107" i="1"/>
  <c r="B107" i="1"/>
  <c r="D104" i="1"/>
  <c r="B104" i="1"/>
  <c r="I103" i="1"/>
  <c r="D103" i="1"/>
  <c r="B103" i="1"/>
  <c r="I99" i="1"/>
  <c r="D99" i="1"/>
  <c r="B99" i="1"/>
  <c r="D98" i="1"/>
  <c r="B98" i="1"/>
  <c r="D95" i="1"/>
  <c r="B95" i="1"/>
  <c r="I94" i="1"/>
  <c r="D94" i="1"/>
  <c r="B94" i="1"/>
  <c r="I86" i="1"/>
  <c r="D86" i="1"/>
  <c r="B86" i="1"/>
  <c r="I82" i="1"/>
  <c r="D82" i="1"/>
  <c r="B82" i="1"/>
  <c r="D81" i="1"/>
  <c r="B81" i="1"/>
  <c r="I80" i="1"/>
  <c r="D80" i="1"/>
  <c r="B80" i="1"/>
  <c r="D79" i="1"/>
  <c r="B79" i="1"/>
  <c r="D78" i="1"/>
  <c r="B78" i="1"/>
  <c r="I77" i="1"/>
  <c r="D77" i="1"/>
  <c r="B77" i="1"/>
  <c r="I76" i="1"/>
  <c r="D76" i="1"/>
  <c r="B76" i="1"/>
  <c r="D75" i="1"/>
  <c r="B75" i="1"/>
  <c r="D72" i="1"/>
  <c r="B72" i="1"/>
  <c r="D71" i="1"/>
  <c r="B71" i="1"/>
  <c r="D70" i="1"/>
  <c r="B70" i="1"/>
  <c r="D67" i="1"/>
  <c r="B67" i="1"/>
  <c r="I66" i="1"/>
  <c r="D66" i="1"/>
  <c r="B66" i="1"/>
  <c r="I65" i="1"/>
  <c r="D65" i="1"/>
  <c r="B65" i="1"/>
  <c r="I64" i="1"/>
  <c r="D64" i="1"/>
  <c r="B64" i="1"/>
  <c r="D61" i="1"/>
  <c r="B61" i="1"/>
  <c r="D60" i="1"/>
  <c r="B60" i="1"/>
  <c r="D59" i="1"/>
  <c r="B59" i="1"/>
  <c r="I58" i="1"/>
  <c r="D58" i="1"/>
  <c r="B58" i="1"/>
  <c r="I57" i="1"/>
  <c r="D57" i="1"/>
  <c r="B57" i="1"/>
  <c r="I56" i="1"/>
  <c r="D56" i="1"/>
  <c r="B56" i="1"/>
  <c r="D55" i="1"/>
  <c r="B55" i="1"/>
  <c r="I54" i="1"/>
  <c r="D54" i="1"/>
  <c r="B54" i="1"/>
  <c r="D50" i="1"/>
  <c r="B50" i="1"/>
  <c r="D47" i="1"/>
  <c r="B47" i="1"/>
  <c r="I46" i="1"/>
  <c r="D46" i="1"/>
  <c r="B46" i="1"/>
  <c r="I45" i="1"/>
  <c r="D45" i="1"/>
  <c r="B45" i="1"/>
  <c r="D44" i="1"/>
  <c r="B44" i="1"/>
  <c r="I43" i="1"/>
  <c r="D43" i="1"/>
  <c r="B43" i="1"/>
  <c r="I42" i="1"/>
  <c r="D42" i="1"/>
  <c r="B42" i="1"/>
  <c r="B49" i="1"/>
  <c r="D49" i="1"/>
  <c r="F41" i="1"/>
  <c r="D41" i="1"/>
  <c r="B41" i="1"/>
  <c r="I39" i="1"/>
  <c r="J39" i="1"/>
  <c r="D39" i="1"/>
  <c r="B39" i="1"/>
  <c r="J38" i="1"/>
  <c r="D38" i="1"/>
  <c r="B38" i="1"/>
  <c r="J37" i="1"/>
  <c r="D37" i="1"/>
  <c r="B37" i="1"/>
  <c r="D36" i="1"/>
  <c r="B36" i="1"/>
  <c r="J36" i="1"/>
  <c r="J32" i="1"/>
  <c r="I32" i="1"/>
  <c r="D32" i="1"/>
  <c r="B32" i="1"/>
  <c r="J31" i="1"/>
  <c r="D31" i="1"/>
  <c r="B31" i="1"/>
  <c r="D30" i="1"/>
  <c r="B30" i="1"/>
  <c r="D97" i="1"/>
  <c r="H92" i="3"/>
  <c r="H98" i="3" s="1"/>
  <c r="H21" i="2"/>
  <c r="H98" i="5"/>
  <c r="H104" i="5" s="1"/>
  <c r="H21" i="4" s="1"/>
  <c r="H99" i="5"/>
  <c r="H93" i="7"/>
  <c r="H101" i="7" s="1"/>
  <c r="H94" i="7"/>
  <c r="H95" i="7"/>
  <c r="H96" i="7"/>
  <c r="H118" i="3"/>
  <c r="H23" i="2" s="1"/>
  <c r="H118" i="5"/>
  <c r="H124" i="5" s="1"/>
  <c r="H119" i="5"/>
  <c r="H120" i="5"/>
  <c r="H118" i="7"/>
  <c r="H119" i="7"/>
  <c r="H120" i="7"/>
  <c r="H121" i="7"/>
  <c r="H122" i="7"/>
  <c r="H123" i="7"/>
  <c r="H124" i="7"/>
  <c r="H125" i="7"/>
  <c r="H126" i="7"/>
  <c r="H127" i="7"/>
  <c r="H128" i="7"/>
  <c r="H131" i="7"/>
  <c r="H23" i="6" s="1"/>
  <c r="H128" i="3"/>
  <c r="H24" i="2" s="1"/>
  <c r="H128" i="5"/>
  <c r="H129" i="5"/>
  <c r="H134" i="5" s="1"/>
  <c r="H130" i="5"/>
  <c r="H141" i="7"/>
  <c r="H24" i="6"/>
  <c r="H138" i="3"/>
  <c r="H25" i="2"/>
  <c r="H138" i="5"/>
  <c r="H144" i="5" s="1"/>
  <c r="H139" i="5"/>
  <c r="H140" i="5"/>
  <c r="H145" i="7"/>
  <c r="H146" i="7"/>
  <c r="H147" i="7"/>
  <c r="H148" i="7"/>
  <c r="H149" i="7"/>
  <c r="H150" i="7"/>
  <c r="H151" i="7"/>
  <c r="H152" i="7"/>
  <c r="H153" i="7"/>
  <c r="H154" i="7"/>
  <c r="H155" i="7"/>
  <c r="H156" i="7"/>
  <c r="H157" i="7"/>
  <c r="H158" i="7"/>
  <c r="H159" i="7"/>
  <c r="H160" i="7"/>
  <c r="H161" i="7"/>
  <c r="H162" i="7"/>
  <c r="H163" i="7"/>
  <c r="H164" i="7"/>
  <c r="H165" i="7"/>
  <c r="H166" i="7"/>
  <c r="H167" i="7"/>
  <c r="H168" i="7"/>
  <c r="H169" i="7"/>
  <c r="H170" i="7"/>
  <c r="H171" i="7"/>
  <c r="H178" i="7"/>
  <c r="H148" i="3"/>
  <c r="H26" i="2"/>
  <c r="H154" i="5"/>
  <c r="H26" i="4" s="1"/>
  <c r="H182" i="7"/>
  <c r="H183" i="7"/>
  <c r="H184" i="7"/>
  <c r="H188" i="7" s="1"/>
  <c r="H185" i="7"/>
  <c r="H31" i="8"/>
  <c r="H158" i="3"/>
  <c r="H27" i="2"/>
  <c r="H164" i="5"/>
  <c r="H27" i="4"/>
  <c r="H192" i="7"/>
  <c r="H198" i="7"/>
  <c r="H27" i="6" s="1"/>
  <c r="H33" i="8"/>
  <c r="H188" i="3"/>
  <c r="H30" i="2"/>
  <c r="H188" i="5"/>
  <c r="H189" i="5"/>
  <c r="H220" i="7"/>
  <c r="H221" i="7"/>
  <c r="H222" i="7"/>
  <c r="H223" i="7"/>
  <c r="H227" i="7" s="1"/>
  <c r="F103" i="1"/>
  <c r="D13" i="9"/>
  <c r="D12" i="9"/>
  <c r="D9" i="8"/>
  <c r="D8" i="8"/>
  <c r="D7" i="8"/>
  <c r="H35" i="8"/>
  <c r="D109" i="1"/>
  <c r="D17" i="9"/>
  <c r="D13" i="8"/>
  <c r="D35" i="8"/>
  <c r="B35" i="8"/>
  <c r="H82" i="3"/>
  <c r="H83" i="3"/>
  <c r="H88" i="3" s="1"/>
  <c r="H88" i="5"/>
  <c r="H89" i="5"/>
  <c r="H94" i="5" s="1"/>
  <c r="H83" i="7"/>
  <c r="H84" i="7"/>
  <c r="H89" i="7" s="1"/>
  <c r="H178" i="3"/>
  <c r="H29" i="2"/>
  <c r="H184" i="5"/>
  <c r="H29" i="4"/>
  <c r="H216" i="7"/>
  <c r="H29" i="6"/>
  <c r="D6" i="5"/>
  <c r="D6" i="4"/>
  <c r="D1" i="7"/>
  <c r="D2" i="7"/>
  <c r="D5" i="7"/>
  <c r="H1" i="7"/>
  <c r="H2" i="7"/>
  <c r="H3" i="7"/>
  <c r="H4" i="7"/>
  <c r="H5" i="7"/>
  <c r="H6" i="7"/>
  <c r="H7" i="7"/>
  <c r="H8" i="7"/>
  <c r="H9" i="7"/>
  <c r="I216" i="7" s="1"/>
  <c r="H10" i="7"/>
  <c r="H11" i="7"/>
  <c r="H12" i="7"/>
  <c r="E9" i="7"/>
  <c r="D5" i="6"/>
  <c r="D2" i="6"/>
  <c r="D1" i="6"/>
  <c r="E9" i="6"/>
  <c r="H8" i="6"/>
  <c r="H7" i="6"/>
  <c r="H5" i="6"/>
  <c r="H4" i="6"/>
  <c r="H3" i="6"/>
  <c r="H2" i="6"/>
  <c r="H1" i="6"/>
  <c r="H6" i="6"/>
  <c r="H10" i="6"/>
  <c r="H12" i="6"/>
  <c r="H9" i="6"/>
  <c r="H11" i="6"/>
  <c r="D5" i="3"/>
  <c r="D2" i="3"/>
  <c r="D1" i="3"/>
  <c r="E9" i="3"/>
  <c r="H3" i="3"/>
  <c r="H4" i="3"/>
  <c r="H5" i="3"/>
  <c r="H8" i="3"/>
  <c r="H7" i="3"/>
  <c r="E12" i="3"/>
  <c r="H2" i="3"/>
  <c r="H1" i="3"/>
  <c r="H6" i="3"/>
  <c r="H10" i="3"/>
  <c r="H12" i="3"/>
  <c r="H9" i="3"/>
  <c r="I188" i="3" s="1"/>
  <c r="H11" i="3"/>
  <c r="D5" i="2"/>
  <c r="D2" i="2"/>
  <c r="D1" i="2"/>
  <c r="E9" i="2"/>
  <c r="H5" i="2"/>
  <c r="H4" i="2"/>
  <c r="H3" i="2"/>
  <c r="H8" i="2"/>
  <c r="H7" i="2"/>
  <c r="H2" i="2"/>
  <c r="H1" i="2"/>
  <c r="H6" i="2"/>
  <c r="H10" i="2"/>
  <c r="H12" i="2"/>
  <c r="H9" i="2"/>
  <c r="H11" i="2"/>
  <c r="D5" i="5"/>
  <c r="D2" i="5"/>
  <c r="D1" i="5"/>
  <c r="H1" i="5"/>
  <c r="H2" i="5"/>
  <c r="H3" i="5"/>
  <c r="H4" i="5"/>
  <c r="H5" i="5"/>
  <c r="H6" i="5"/>
  <c r="H7" i="5"/>
  <c r="H8" i="5"/>
  <c r="H9" i="5"/>
  <c r="I174" i="5" s="1"/>
  <c r="H10" i="5"/>
  <c r="H12" i="5"/>
  <c r="E9" i="5"/>
  <c r="I184" i="5"/>
  <c r="H11" i="5"/>
  <c r="D5" i="4"/>
  <c r="D2" i="4"/>
  <c r="D1" i="4"/>
  <c r="E9" i="4"/>
  <c r="H8" i="4"/>
  <c r="H7" i="4"/>
  <c r="H5" i="4"/>
  <c r="H4" i="4"/>
  <c r="H3" i="4"/>
  <c r="H2" i="4"/>
  <c r="H1" i="4"/>
  <c r="H6" i="4"/>
  <c r="H10" i="4"/>
  <c r="H12" i="4"/>
  <c r="H9" i="4"/>
  <c r="H11" i="4"/>
  <c r="H39" i="9" l="1"/>
  <c r="H23" i="8" s="1"/>
  <c r="I147" i="9"/>
  <c r="I133" i="9"/>
  <c r="I118" i="3"/>
  <c r="H174" i="9"/>
  <c r="I174" i="9" s="1"/>
  <c r="I128" i="3"/>
  <c r="I158" i="3"/>
  <c r="I178" i="7"/>
  <c r="I98" i="3"/>
  <c r="I178" i="3"/>
  <c r="I168" i="3"/>
  <c r="I160" i="9"/>
  <c r="J106" i="1" s="1"/>
  <c r="I198" i="3"/>
  <c r="I198" i="7"/>
  <c r="I141" i="7"/>
  <c r="I138" i="3"/>
  <c r="I148" i="3"/>
  <c r="I108" i="3"/>
  <c r="H166" i="9"/>
  <c r="H34" i="8"/>
  <c r="I155" i="9"/>
  <c r="H144" i="9"/>
  <c r="I144" i="9" s="1"/>
  <c r="H126" i="9"/>
  <c r="H30" i="8" s="1"/>
  <c r="H115" i="9"/>
  <c r="I115" i="9" s="1"/>
  <c r="H66" i="9"/>
  <c r="I49" i="1" s="1"/>
  <c r="H48" i="9"/>
  <c r="I31" i="1"/>
  <c r="H32" i="4"/>
  <c r="I216" i="5"/>
  <c r="I227" i="7"/>
  <c r="H30" i="6"/>
  <c r="I124" i="5"/>
  <c r="H23" i="4"/>
  <c r="G110" i="10"/>
  <c r="I125" i="1" s="1"/>
  <c r="H18" i="4"/>
  <c r="I67" i="5"/>
  <c r="H19" i="6"/>
  <c r="I79" i="7"/>
  <c r="H28" i="6"/>
  <c r="I207" i="7"/>
  <c r="H20" i="4"/>
  <c r="I94" i="5"/>
  <c r="H26" i="6"/>
  <c r="I188" i="7"/>
  <c r="I144" i="5"/>
  <c r="H25" i="4"/>
  <c r="I101" i="7"/>
  <c r="H21" i="6"/>
  <c r="H19" i="2"/>
  <c r="I78" i="3"/>
  <c r="H22" i="6"/>
  <c r="I114" i="7"/>
  <c r="H24" i="4"/>
  <c r="I134" i="5"/>
  <c r="H20" i="6"/>
  <c r="I89" i="7"/>
  <c r="H20" i="2"/>
  <c r="I88" i="3"/>
  <c r="H18" i="6"/>
  <c r="I65" i="7"/>
  <c r="I65" i="3"/>
  <c r="H18" i="2"/>
  <c r="H32" i="2"/>
  <c r="I208" i="3"/>
  <c r="I104" i="5"/>
  <c r="I154" i="5"/>
  <c r="I131" i="7"/>
  <c r="H194" i="5"/>
  <c r="I164" i="5"/>
  <c r="H27" i="3"/>
  <c r="H31" i="4"/>
  <c r="I204" i="5"/>
  <c r="H256" i="7"/>
  <c r="H98" i="9"/>
  <c r="H25" i="6"/>
  <c r="H27" i="5"/>
  <c r="H114" i="5"/>
  <c r="H58" i="9"/>
  <c r="H27" i="7"/>
  <c r="I84" i="5"/>
  <c r="I183" i="9"/>
  <c r="H79" i="9"/>
  <c r="H22" i="2"/>
  <c r="H241" i="7"/>
  <c r="H89" i="9"/>
  <c r="H30" i="9"/>
  <c r="I26" i="1"/>
  <c r="I37" i="1"/>
  <c r="I39" i="9" l="1"/>
  <c r="I29" i="1"/>
  <c r="J29" i="1" s="1"/>
  <c r="H36" i="8"/>
  <c r="J49" i="1"/>
  <c r="I109" i="1"/>
  <c r="I166" i="9"/>
  <c r="J109" i="1" s="1"/>
  <c r="H32" i="8"/>
  <c r="I97" i="1" s="1"/>
  <c r="I126" i="9"/>
  <c r="J85" i="1" s="1"/>
  <c r="I85" i="1"/>
  <c r="I74" i="1"/>
  <c r="H29" i="8"/>
  <c r="I66" i="9"/>
  <c r="I48" i="9"/>
  <c r="H24" i="8"/>
  <c r="I35" i="1" s="1"/>
  <c r="H22" i="4"/>
  <c r="I114" i="5"/>
  <c r="H17" i="4"/>
  <c r="H35" i="4" s="1"/>
  <c r="H45" i="4" s="1"/>
  <c r="H50" i="4" s="1"/>
  <c r="H220" i="5"/>
  <c r="I220" i="5" s="1"/>
  <c r="I27" i="5"/>
  <c r="H22" i="8"/>
  <c r="I30" i="9"/>
  <c r="H26" i="8"/>
  <c r="I79" i="9"/>
  <c r="I41" i="1"/>
  <c r="H25" i="8"/>
  <c r="I58" i="9"/>
  <c r="J41" i="1" s="1"/>
  <c r="H27" i="8"/>
  <c r="I63" i="1"/>
  <c r="I89" i="9"/>
  <c r="J63" i="1" s="1"/>
  <c r="I69" i="1"/>
  <c r="I98" i="9"/>
  <c r="H28" i="8"/>
  <c r="H212" i="3"/>
  <c r="I212" i="3" s="1"/>
  <c r="H17" i="2"/>
  <c r="I27" i="3"/>
  <c r="I241" i="7"/>
  <c r="H31" i="6"/>
  <c r="I102" i="1" s="1"/>
  <c r="H32" i="6"/>
  <c r="I256" i="7"/>
  <c r="I53" i="1"/>
  <c r="J53" i="1" s="1"/>
  <c r="I27" i="7"/>
  <c r="H260" i="7"/>
  <c r="I260" i="7" s="1"/>
  <c r="H17" i="6"/>
  <c r="H35" i="6" s="1"/>
  <c r="H45" i="6" s="1"/>
  <c r="H50" i="6" s="1"/>
  <c r="I194" i="5"/>
  <c r="H30" i="4"/>
  <c r="I101" i="1" s="1"/>
  <c r="J101" i="1" s="1"/>
  <c r="I112" i="1"/>
  <c r="J112" i="1" l="1"/>
  <c r="J97" i="1"/>
  <c r="J74" i="1"/>
  <c r="J35" i="1"/>
  <c r="J102" i="1"/>
  <c r="I130" i="1"/>
  <c r="H191" i="9"/>
  <c r="I126" i="1" s="1"/>
  <c r="I186" i="9"/>
  <c r="I25" i="1"/>
  <c r="H35" i="2"/>
  <c r="H45" i="2" s="1"/>
  <c r="H50" i="2" s="1"/>
  <c r="H39" i="8"/>
  <c r="H49" i="8" s="1"/>
  <c r="H54" i="8" s="1"/>
  <c r="J25" i="1" l="1"/>
  <c r="I129" i="1" l="1"/>
  <c r="I132" i="1" s="1"/>
  <c r="I134" i="1" l="1"/>
  <c r="I137" i="1" s="1"/>
  <c r="J132" i="1"/>
  <c r="H187" i="9" l="1"/>
  <c r="H194" i="9" s="1"/>
  <c r="H196" i="9" s="1"/>
  <c r="J137" i="1"/>
  <c r="I187" i="9" s="1"/>
</calcChain>
</file>

<file path=xl/sharedStrings.xml><?xml version="1.0" encoding="utf-8"?>
<sst xmlns="http://schemas.openxmlformats.org/spreadsheetml/2006/main" count="1760" uniqueCount="652">
  <si>
    <t>Project:</t>
  </si>
  <si>
    <t>Architect:</t>
  </si>
  <si>
    <t>Location:</t>
  </si>
  <si>
    <t>Project Type:</t>
  </si>
  <si>
    <t>Structure Type:</t>
  </si>
  <si>
    <t xml:space="preserve"> </t>
  </si>
  <si>
    <t>No. Stories Below Grade:</t>
  </si>
  <si>
    <t>No. Stories Above Grade:</t>
  </si>
  <si>
    <t>No. of Units:</t>
  </si>
  <si>
    <t>Common Area:</t>
  </si>
  <si>
    <t>SPEC</t>
  </si>
  <si>
    <t>SECT</t>
  </si>
  <si>
    <t>DESCRIPTION</t>
  </si>
  <si>
    <t>UNITS</t>
  </si>
  <si>
    <t>UNIT</t>
  </si>
  <si>
    <t>COST</t>
  </si>
  <si>
    <t>01000</t>
  </si>
  <si>
    <t>02000</t>
  </si>
  <si>
    <t>03000</t>
  </si>
  <si>
    <t>04000</t>
  </si>
  <si>
    <t>05000</t>
  </si>
  <si>
    <t>06000</t>
  </si>
  <si>
    <t>07000</t>
  </si>
  <si>
    <t>08000</t>
  </si>
  <si>
    <t>09000</t>
  </si>
  <si>
    <t>Concrete</t>
  </si>
  <si>
    <t>Masonry</t>
  </si>
  <si>
    <t>Steel</t>
  </si>
  <si>
    <t>Wood / Plastics</t>
  </si>
  <si>
    <t>Thermal / Moisture Protection</t>
  </si>
  <si>
    <t>Finishes</t>
  </si>
  <si>
    <t>Specialties</t>
  </si>
  <si>
    <t>Equipment</t>
  </si>
  <si>
    <t>Furnishings</t>
  </si>
  <si>
    <t>Special Construction</t>
  </si>
  <si>
    <t>Conveying Systems</t>
  </si>
  <si>
    <t>Mechanical</t>
  </si>
  <si>
    <t>Electrical</t>
  </si>
  <si>
    <t>QUANT</t>
  </si>
  <si>
    <t>TOTAL</t>
  </si>
  <si>
    <t>PER SF</t>
  </si>
  <si>
    <t>Subtotal</t>
  </si>
  <si>
    <t>General Conditions</t>
  </si>
  <si>
    <t>Builders Risk Insurance</t>
  </si>
  <si>
    <t>General Liability Insurance</t>
  </si>
  <si>
    <t>Bond</t>
  </si>
  <si>
    <t>Overhead</t>
  </si>
  <si>
    <t>Contractor's Fee</t>
  </si>
  <si>
    <t>Contractor's Contingency</t>
  </si>
  <si>
    <t>OFF-SITE TOTAL COST</t>
  </si>
  <si>
    <t>SITE TOTAL COST</t>
  </si>
  <si>
    <t>GARAGE TOTAL COST</t>
  </si>
  <si>
    <t>BUILDING TOTAL COST</t>
  </si>
  <si>
    <t>Site Work</t>
  </si>
  <si>
    <t>Builder's Risk Insurance</t>
  </si>
  <si>
    <t>Special Insurance</t>
  </si>
  <si>
    <t>TOTAL PROJECT COST</t>
  </si>
  <si>
    <t>No. of Bathrooms:</t>
  </si>
  <si>
    <t>SF</t>
  </si>
  <si>
    <t>CONCRETE</t>
  </si>
  <si>
    <t>SITE WORK</t>
  </si>
  <si>
    <t>MASONRY</t>
  </si>
  <si>
    <t>STEEL</t>
  </si>
  <si>
    <t>WOOD / PLASTICS</t>
  </si>
  <si>
    <t>THERMAL / MOISTURE PROTECT</t>
  </si>
  <si>
    <t>FINISHES</t>
  </si>
  <si>
    <t>SPECIALTIES</t>
  </si>
  <si>
    <t>EQUIPMENT</t>
  </si>
  <si>
    <t>FURNISHINGS</t>
  </si>
  <si>
    <t>SPECIAL CONSTRUCTION</t>
  </si>
  <si>
    <t>CONVEYING SYSTEMS</t>
  </si>
  <si>
    <t>MECHANICAL</t>
  </si>
  <si>
    <t>ELECTRICAL</t>
  </si>
  <si>
    <t>Site Work Totals</t>
  </si>
  <si>
    <t>Concrete Totals</t>
  </si>
  <si>
    <t>Masonry Totals</t>
  </si>
  <si>
    <t>Steel Totals</t>
  </si>
  <si>
    <t>Wood / Plastics Totals</t>
  </si>
  <si>
    <t>Thermal / Moisture Protect Totals</t>
  </si>
  <si>
    <t>Doors / Glass</t>
  </si>
  <si>
    <t>DOORS / GLASS</t>
  </si>
  <si>
    <t>Doors / Glass Totals</t>
  </si>
  <si>
    <t>Finishes Totals</t>
  </si>
  <si>
    <t>Specialties Totals</t>
  </si>
  <si>
    <t>Equipment Totals</t>
  </si>
  <si>
    <t>Furnishings Totals</t>
  </si>
  <si>
    <t>Special Construction Totals</t>
  </si>
  <si>
    <t>Conveying Systems Totals</t>
  </si>
  <si>
    <t>Mechanical Totals</t>
  </si>
  <si>
    <t>Electrical Totals</t>
  </si>
  <si>
    <t>Temporary Construction</t>
  </si>
  <si>
    <t>02100</t>
  </si>
  <si>
    <t>Clear and grub</t>
  </si>
  <si>
    <t>Mobilizations</t>
  </si>
  <si>
    <t>LS</t>
  </si>
  <si>
    <t>02050</t>
  </si>
  <si>
    <t>02150</t>
  </si>
  <si>
    <t>Demolition</t>
  </si>
  <si>
    <t>02175</t>
  </si>
  <si>
    <t>Dewatering</t>
  </si>
  <si>
    <t>02550</t>
  </si>
  <si>
    <t>Site Utilities:</t>
  </si>
  <si>
    <t xml:space="preserve">   - Catch basins</t>
  </si>
  <si>
    <t xml:space="preserve">   - Curb inlets</t>
  </si>
  <si>
    <t xml:space="preserve">   - Drain inlets</t>
  </si>
  <si>
    <t xml:space="preserve">   Storm Drain</t>
  </si>
  <si>
    <t xml:space="preserve">   Sanitary Sewer</t>
  </si>
  <si>
    <t xml:space="preserve">   - 18" RCP</t>
  </si>
  <si>
    <t xml:space="preserve">   - 15" RCP</t>
  </si>
  <si>
    <t xml:space="preserve">   - 12" RCP</t>
  </si>
  <si>
    <t xml:space="preserve">   - 10" RCP</t>
  </si>
  <si>
    <t xml:space="preserve">   - 8" RCP</t>
  </si>
  <si>
    <t xml:space="preserve">   - 6" RCP</t>
  </si>
  <si>
    <t xml:space="preserve">   - Tie to (e) manhole</t>
  </si>
  <si>
    <t xml:space="preserve">   Domestic Water</t>
  </si>
  <si>
    <t xml:space="preserve">   Fire Water</t>
  </si>
  <si>
    <t xml:space="preserve">   Gas Service</t>
  </si>
  <si>
    <t>02105</t>
  </si>
  <si>
    <t>Protect (e) trees</t>
  </si>
  <si>
    <t>EA</t>
  </si>
  <si>
    <t>LF</t>
  </si>
  <si>
    <t>02620</t>
  </si>
  <si>
    <t>AC Paving</t>
  </si>
  <si>
    <t xml:space="preserve">   3" AC over 5" AB</t>
  </si>
  <si>
    <t xml:space="preserve">   3" AC over 6" AB</t>
  </si>
  <si>
    <t xml:space="preserve">   3" AC over 9" AB</t>
  </si>
  <si>
    <t>03630</t>
  </si>
  <si>
    <t>City Standard Curb and Gutter</t>
  </si>
  <si>
    <t>City Standard 4" Sidewalk</t>
  </si>
  <si>
    <t>6" Curb</t>
  </si>
  <si>
    <t>Valley Gutter</t>
  </si>
  <si>
    <t>04100</t>
  </si>
  <si>
    <t>8" CMU Wall (standard block)</t>
  </si>
  <si>
    <t>04150</t>
  </si>
  <si>
    <t>03650</t>
  </si>
  <si>
    <t>Retaining wall</t>
  </si>
  <si>
    <t>CMU Retaining wall</t>
  </si>
  <si>
    <t>02636</t>
  </si>
  <si>
    <t>Water Features (Allowance)</t>
  </si>
  <si>
    <t>02750</t>
  </si>
  <si>
    <t>Landscape Irrigation</t>
  </si>
  <si>
    <t>02800</t>
  </si>
  <si>
    <t>Landscape Planting</t>
  </si>
  <si>
    <t>Trees</t>
  </si>
  <si>
    <t>Off-site vaults</t>
  </si>
  <si>
    <t>Electrical service</t>
  </si>
  <si>
    <t>Street Lighting</t>
  </si>
  <si>
    <t>Landscape Lighting</t>
  </si>
  <si>
    <t>05100</t>
  </si>
  <si>
    <t>Pipe bollards</t>
  </si>
  <si>
    <t>Off-Site Work Subtotal</t>
  </si>
  <si>
    <t>Garage Subtotal</t>
  </si>
  <si>
    <t>Site Work Subtotal</t>
  </si>
  <si>
    <t>Building Subtotal</t>
  </si>
  <si>
    <t>09250</t>
  </si>
  <si>
    <t>Drywall</t>
  </si>
  <si>
    <t>Exterior Gyp Sheathing</t>
  </si>
  <si>
    <t>Gypboard - interior walls</t>
  </si>
  <si>
    <t>Gypboard - ceilings</t>
  </si>
  <si>
    <t>Gypboard - soffits</t>
  </si>
  <si>
    <t>Shaft walls</t>
  </si>
  <si>
    <t>SFCA</t>
  </si>
  <si>
    <t xml:space="preserve">SF </t>
  </si>
  <si>
    <t>Chase walls</t>
  </si>
  <si>
    <t>Furred walls</t>
  </si>
  <si>
    <t>Sound walls - staggered studs</t>
  </si>
  <si>
    <t>09150</t>
  </si>
  <si>
    <t>Stucco soffits at decks</t>
  </si>
  <si>
    <t>Plaster</t>
  </si>
  <si>
    <t>Plaster soffits at decks</t>
  </si>
  <si>
    <t>09310</t>
  </si>
  <si>
    <t>Ceramic tile floors</t>
  </si>
  <si>
    <t>Ceramic tile walls</t>
  </si>
  <si>
    <t>Ceramic tile tub and shower surrounds</t>
  </si>
  <si>
    <t>SY</t>
  </si>
  <si>
    <t>VCT flooring</t>
  </si>
  <si>
    <t>Carpet and pad</t>
  </si>
  <si>
    <t>Carpet glue down</t>
  </si>
  <si>
    <t>09550</t>
  </si>
  <si>
    <t>Hardwood flooring</t>
  </si>
  <si>
    <t>09650</t>
  </si>
  <si>
    <t>Resilient flooring</t>
  </si>
  <si>
    <t>Topset resilient base</t>
  </si>
  <si>
    <t>09900</t>
  </si>
  <si>
    <t>Paint - exterior</t>
  </si>
  <si>
    <t>Paint - interior walls</t>
  </si>
  <si>
    <t>Paint - ceilings</t>
  </si>
  <si>
    <t>Paint - stairs</t>
  </si>
  <si>
    <t>Paint - doors and frames</t>
  </si>
  <si>
    <t>Unit Area:</t>
  </si>
  <si>
    <t>06100</t>
  </si>
  <si>
    <t>Wood fence</t>
  </si>
  <si>
    <t>Wood gate</t>
  </si>
  <si>
    <t>Elevator</t>
  </si>
  <si>
    <t>STOPS</t>
  </si>
  <si>
    <t>Wheelchair lifts</t>
  </si>
  <si>
    <t>Structural Steel</t>
  </si>
  <si>
    <t>05200</t>
  </si>
  <si>
    <t>05300</t>
  </si>
  <si>
    <t>Steel stairs</t>
  </si>
  <si>
    <t>FLT</t>
  </si>
  <si>
    <t>STOP</t>
  </si>
  <si>
    <t>Fire sprinkler system</t>
  </si>
  <si>
    <t>Plumbing</t>
  </si>
  <si>
    <t>HVAC</t>
  </si>
  <si>
    <t>ITEM</t>
  </si>
  <si>
    <t>NO.</t>
  </si>
  <si>
    <t>Senior Project Manager</t>
  </si>
  <si>
    <t>Project Manager</t>
  </si>
  <si>
    <t>Assistant Project Manager</t>
  </si>
  <si>
    <t>Project Superintendant</t>
  </si>
  <si>
    <t>Assistant Project Engineer</t>
  </si>
  <si>
    <t>Form Detailer</t>
  </si>
  <si>
    <t>Project Secretary</t>
  </si>
  <si>
    <t>Project Accountant</t>
  </si>
  <si>
    <t>MEP Coordinator</t>
  </si>
  <si>
    <t>EEO Coordinator</t>
  </si>
  <si>
    <t>Contract Administrator</t>
  </si>
  <si>
    <t>Safety Coordinator</t>
  </si>
  <si>
    <t>Scheduling</t>
  </si>
  <si>
    <t>08100</t>
  </si>
  <si>
    <t>HM door / HM frame / hardware</t>
  </si>
  <si>
    <t>08150</t>
  </si>
  <si>
    <t>TEMPORARY CONSTRUCTION</t>
  </si>
  <si>
    <t>01100</t>
  </si>
  <si>
    <t>Scaffold</t>
  </si>
  <si>
    <t>01150</t>
  </si>
  <si>
    <t>Temporary roads</t>
  </si>
  <si>
    <t>Barricades</t>
  </si>
  <si>
    <t>01200</t>
  </si>
  <si>
    <t>01250</t>
  </si>
  <si>
    <t>Traffic control</t>
  </si>
  <si>
    <t>01260</t>
  </si>
  <si>
    <t>Flagman</t>
  </si>
  <si>
    <t>01270</t>
  </si>
  <si>
    <t>Safety rails</t>
  </si>
  <si>
    <t>Temporary Construction Totals</t>
  </si>
  <si>
    <t>Project Duration:</t>
  </si>
  <si>
    <t>Projected Staff:</t>
  </si>
  <si>
    <t>Trailers</t>
  </si>
  <si>
    <t>Office Rent</t>
  </si>
  <si>
    <t>Demobilization</t>
  </si>
  <si>
    <t>Office Supplies</t>
  </si>
  <si>
    <t>Telephone / Fax</t>
  </si>
  <si>
    <t>Project Sign</t>
  </si>
  <si>
    <t>Project Schedule</t>
  </si>
  <si>
    <r>
      <t>Plan &amp; Specification Printing (</t>
    </r>
    <r>
      <rPr>
        <b/>
        <sz val="10"/>
        <rFont val="Arial"/>
        <family val="2"/>
      </rPr>
      <t>by Owner)</t>
    </r>
  </si>
  <si>
    <t>Miscellaneous Reproduction</t>
  </si>
  <si>
    <t>Security</t>
  </si>
  <si>
    <t>SITE MANAGEMENT</t>
  </si>
  <si>
    <t>JOBSITE OFFICE</t>
  </si>
  <si>
    <t>VEHICLES &amp; TRAVEL</t>
  </si>
  <si>
    <t>Truck Expense / Plant Vehicles</t>
  </si>
  <si>
    <t>Gas / Oil</t>
  </si>
  <si>
    <t>Miscellaneous Truck Repairs</t>
  </si>
  <si>
    <t>Generator</t>
  </si>
  <si>
    <t>EQUIPMENT &amp; TOOLS</t>
  </si>
  <si>
    <t>Project Tool Shed</t>
  </si>
  <si>
    <t>Small Tools</t>
  </si>
  <si>
    <t>Tools</t>
  </si>
  <si>
    <t>Lifts</t>
  </si>
  <si>
    <t>Cranes</t>
  </si>
  <si>
    <t>Hoists</t>
  </si>
  <si>
    <t>SAFETY &amp; CLEAN-UP</t>
  </si>
  <si>
    <t>Safety Inspections</t>
  </si>
  <si>
    <t>Interim Clean-up</t>
  </si>
  <si>
    <t>Debris Boxes</t>
  </si>
  <si>
    <t>Site Fence (temp fence)</t>
  </si>
  <si>
    <t>Temporary Walkway</t>
  </si>
  <si>
    <t>Temporary Stairs</t>
  </si>
  <si>
    <t>Safety Rails</t>
  </si>
  <si>
    <t>Street Barricades</t>
  </si>
  <si>
    <t>Dumpsters</t>
  </si>
  <si>
    <r>
      <t>Street Clean-up (</t>
    </r>
    <r>
      <rPr>
        <b/>
        <sz val="10"/>
        <rFont val="Arial"/>
        <family val="2"/>
      </rPr>
      <t>by Subcontractor)</t>
    </r>
  </si>
  <si>
    <r>
      <t>Final Clean-up (</t>
    </r>
    <r>
      <rPr>
        <b/>
        <sz val="10"/>
        <rFont val="Arial"/>
        <family val="2"/>
      </rPr>
      <t>Subcontractor</t>
    </r>
    <r>
      <rPr>
        <sz val="10"/>
        <rFont val="Arial"/>
        <family val="2"/>
      </rPr>
      <t>)</t>
    </r>
  </si>
  <si>
    <r>
      <t>Final Clean-up (</t>
    </r>
    <r>
      <rPr>
        <b/>
        <sz val="10"/>
        <rFont val="Arial"/>
        <family val="2"/>
      </rPr>
      <t>Own Forces</t>
    </r>
    <r>
      <rPr>
        <sz val="10"/>
        <rFont val="Arial"/>
        <family val="2"/>
      </rPr>
      <t>)</t>
    </r>
  </si>
  <si>
    <t>TEMPORARY SERVICES</t>
  </si>
  <si>
    <t>Temporary Power Poles</t>
  </si>
  <si>
    <t>Temporary Power Poles Distribution</t>
  </si>
  <si>
    <t>Temporary Power Use</t>
  </si>
  <si>
    <t>Temporary Water Hook-up</t>
  </si>
  <si>
    <t>Temporary Water Use</t>
  </si>
  <si>
    <t>Temporary Phone Hook-up</t>
  </si>
  <si>
    <t>Bottled Water</t>
  </si>
  <si>
    <t>Coffee Maker / Supplies Service</t>
  </si>
  <si>
    <t>Temporary Lights</t>
  </si>
  <si>
    <t>Temporary Heat</t>
  </si>
  <si>
    <t>Temporary Toilets</t>
  </si>
  <si>
    <t>SITE / BUILDING PROTECTION</t>
  </si>
  <si>
    <t>Pump / Dewatering</t>
  </si>
  <si>
    <r>
      <t>Dust Control (</t>
    </r>
    <r>
      <rPr>
        <b/>
        <sz val="10"/>
        <rFont val="Arial"/>
        <family val="2"/>
      </rPr>
      <t>by Subcontractor</t>
    </r>
    <r>
      <rPr>
        <sz val="10"/>
        <rFont val="Arial"/>
        <family val="2"/>
      </rPr>
      <t>)</t>
    </r>
  </si>
  <si>
    <t>Storm Water Pollution Program (SWPP)</t>
  </si>
  <si>
    <t>OTHER</t>
  </si>
  <si>
    <t>OSHA Requirements</t>
  </si>
  <si>
    <t>Project Photographs / Miscellaneous</t>
  </si>
  <si>
    <t>Material Handling</t>
  </si>
  <si>
    <t>Scaffold (  )</t>
  </si>
  <si>
    <t>Final Audit</t>
  </si>
  <si>
    <t>Warranty Work / Call-back Allowance</t>
  </si>
  <si>
    <t>Parking for General Conditions</t>
  </si>
  <si>
    <t>INSURANCE</t>
  </si>
  <si>
    <t>Subguard</t>
  </si>
  <si>
    <t>Liability Insurance</t>
  </si>
  <si>
    <t>HR</t>
  </si>
  <si>
    <t>WK</t>
  </si>
  <si>
    <t>MO</t>
  </si>
  <si>
    <t>EA/MO</t>
  </si>
  <si>
    <t>Garage Area:</t>
  </si>
  <si>
    <t>Off-Site Area:</t>
  </si>
  <si>
    <t>Site Area:</t>
  </si>
  <si>
    <t>DIV</t>
  </si>
  <si>
    <t>QUANTITY</t>
  </si>
  <si>
    <t>REMARKS</t>
  </si>
  <si>
    <t>00000</t>
  </si>
  <si>
    <t>AREA CALCULATIONS</t>
  </si>
  <si>
    <t>Site Area</t>
  </si>
  <si>
    <t>Garage Common Area</t>
  </si>
  <si>
    <t>First Floor Common Area</t>
  </si>
  <si>
    <t>Say 1,000 SF</t>
  </si>
  <si>
    <t>Second Floor Common Area</t>
  </si>
  <si>
    <t>Third Floor Common Area</t>
  </si>
  <si>
    <t>Fourth Floor Common Area</t>
  </si>
  <si>
    <t>Second Floor Unit Net Area</t>
  </si>
  <si>
    <t>Third Floor Unit Net Area</t>
  </si>
  <si>
    <t>Fourth Floor Unit Net Area</t>
  </si>
  <si>
    <t>Total Common Area</t>
  </si>
  <si>
    <t>Total Unit Area</t>
  </si>
  <si>
    <t>Gross Building Area:</t>
  </si>
  <si>
    <t>LANDSCAPING</t>
  </si>
  <si>
    <t>Landscaping and irrigation area</t>
  </si>
  <si>
    <t>Tree grates</t>
  </si>
  <si>
    <t>03660</t>
  </si>
  <si>
    <t>Driveway approach</t>
  </si>
  <si>
    <t>03670</t>
  </si>
  <si>
    <t>Concrete Ramps</t>
  </si>
  <si>
    <t>03680</t>
  </si>
  <si>
    <t>Site Stairs</t>
  </si>
  <si>
    <t>RSR</t>
  </si>
  <si>
    <t>03690</t>
  </si>
  <si>
    <t>Concrete Paving</t>
  </si>
  <si>
    <t>03700</t>
  </si>
  <si>
    <t>Courtyard Concrete Paving</t>
  </si>
  <si>
    <t>03710</t>
  </si>
  <si>
    <t>Courtyard Entry Stairs</t>
  </si>
  <si>
    <t>Transformer Pad</t>
  </si>
  <si>
    <t>Site Backbone</t>
  </si>
  <si>
    <t>Spread Footing Foundations</t>
  </si>
  <si>
    <t>CY</t>
  </si>
  <si>
    <t>PIP Walls</t>
  </si>
  <si>
    <t>PIP Columns</t>
  </si>
  <si>
    <t>Concrete Stairs</t>
  </si>
  <si>
    <t>SPREAD FOOTINGS</t>
  </si>
  <si>
    <t>PIP Column Footings @ Garage</t>
  </si>
  <si>
    <t>Perimeter Building Footings</t>
  </si>
  <si>
    <t>Interior Footings @ CMU Walls</t>
  </si>
  <si>
    <t>SUSPENDED 1st FLOOR CONCRETE DECK</t>
  </si>
  <si>
    <t>Assume 10" suspended slab</t>
  </si>
  <si>
    <t>First Floor Net Area</t>
  </si>
  <si>
    <t>On-site vaults</t>
  </si>
  <si>
    <t>General Conditions Total Cost</t>
  </si>
  <si>
    <t>03600</t>
  </si>
  <si>
    <t>03800</t>
  </si>
  <si>
    <t>03750</t>
  </si>
  <si>
    <t>03780</t>
  </si>
  <si>
    <t>Masonry wall footings</t>
  </si>
  <si>
    <t>05500</t>
  </si>
  <si>
    <t>05700</t>
  </si>
  <si>
    <t>Single Rail Pipe Handrails</t>
  </si>
  <si>
    <t>05800</t>
  </si>
  <si>
    <t>Multi-Rail Pipe Handrails</t>
  </si>
  <si>
    <t>Rough Framing</t>
  </si>
  <si>
    <t>06200</t>
  </si>
  <si>
    <t>06500</t>
  </si>
  <si>
    <t>Finish Carpentry</t>
  </si>
  <si>
    <t>06700</t>
  </si>
  <si>
    <t>06800</t>
  </si>
  <si>
    <t>Window Apron, Sills and/or Trim</t>
  </si>
  <si>
    <t>06900</t>
  </si>
  <si>
    <t>Wood Base</t>
  </si>
  <si>
    <t>Wood Stairs</t>
  </si>
  <si>
    <t>RISER</t>
  </si>
  <si>
    <t>07100</t>
  </si>
  <si>
    <t>Building Insulation</t>
  </si>
  <si>
    <t>07200</t>
  </si>
  <si>
    <t>Exterior Wall Insulation</t>
  </si>
  <si>
    <t>07250</t>
  </si>
  <si>
    <t>Interior Wall Insulation</t>
  </si>
  <si>
    <t>07270</t>
  </si>
  <si>
    <t>Floor / Ceiling Insulation</t>
  </si>
  <si>
    <t>07300</t>
  </si>
  <si>
    <t>Waterproofing</t>
  </si>
  <si>
    <t>07400</t>
  </si>
  <si>
    <t>Composition Roof</t>
  </si>
  <si>
    <t>07450</t>
  </si>
  <si>
    <t>Built-up Roof</t>
  </si>
  <si>
    <t>07500</t>
  </si>
  <si>
    <t>Asphalt Shingle Roof</t>
  </si>
  <si>
    <t>07550</t>
  </si>
  <si>
    <t>Concrete Roof Tiles</t>
  </si>
  <si>
    <t>07900</t>
  </si>
  <si>
    <t>Caulking and Sealants</t>
  </si>
  <si>
    <t>Exterior Doors / Frames / Hardware</t>
  </si>
  <si>
    <t>08130</t>
  </si>
  <si>
    <t>09100</t>
  </si>
  <si>
    <t>Stucco / Plaster</t>
  </si>
  <si>
    <t>09120</t>
  </si>
  <si>
    <t>09140</t>
  </si>
  <si>
    <t>09200</t>
  </si>
  <si>
    <t>09220</t>
  </si>
  <si>
    <t>09240</t>
  </si>
  <si>
    <t>09260</t>
  </si>
  <si>
    <t>09270</t>
  </si>
  <si>
    <t>09280</t>
  </si>
  <si>
    <t>09210</t>
  </si>
  <si>
    <t>09230</t>
  </si>
  <si>
    <t>09300</t>
  </si>
  <si>
    <t>09320</t>
  </si>
  <si>
    <t>09400</t>
  </si>
  <si>
    <t>09410</t>
  </si>
  <si>
    <t>09420</t>
  </si>
  <si>
    <t>09450</t>
  </si>
  <si>
    <t>09460</t>
  </si>
  <si>
    <t>09470</t>
  </si>
  <si>
    <t>09910</t>
  </si>
  <si>
    <t>09920</t>
  </si>
  <si>
    <t>09930</t>
  </si>
  <si>
    <t>09940</t>
  </si>
  <si>
    <t>Bathroom Accessories</t>
  </si>
  <si>
    <t>Fire Extinguishers / Cabinets</t>
  </si>
  <si>
    <t>Mailboxes</t>
  </si>
  <si>
    <t>Fireplaces</t>
  </si>
  <si>
    <t>Hydraulic Elevator</t>
  </si>
  <si>
    <t>Holeless Elevator</t>
  </si>
  <si>
    <t>Traction Elevator</t>
  </si>
  <si>
    <t>Wheelchair Lift</t>
  </si>
  <si>
    <t>HVAC System</t>
  </si>
  <si>
    <t>Plumbing System</t>
  </si>
  <si>
    <t>Light Fixture Package</t>
  </si>
  <si>
    <t>Fire Alarm System</t>
  </si>
  <si>
    <t>Telecom System</t>
  </si>
  <si>
    <t>Building Electrical (sf)</t>
  </si>
  <si>
    <t>Garage Electrical (sf)</t>
  </si>
  <si>
    <t>Electrical (Garage Interior)</t>
  </si>
  <si>
    <t>Electrical (Garage Exterior)</t>
  </si>
  <si>
    <t>Garage Exhaust System</t>
  </si>
  <si>
    <t>CO2 Monitoring System</t>
  </si>
  <si>
    <t>Garage Drain System</t>
  </si>
  <si>
    <t>Single Rail Handrail</t>
  </si>
  <si>
    <t>Site Wood Fence</t>
  </si>
  <si>
    <t>06300</t>
  </si>
  <si>
    <t>Decorative Wood Gate</t>
  </si>
  <si>
    <t>06400</t>
  </si>
  <si>
    <t>Wood Trellis</t>
  </si>
  <si>
    <t>Wrought Iron Fence</t>
  </si>
  <si>
    <t>Bentonite Waterproofing</t>
  </si>
  <si>
    <t>Paraseal Waterproofing</t>
  </si>
  <si>
    <t>Exterior HM Door / Frame / Hardware</t>
  </si>
  <si>
    <t>08200</t>
  </si>
  <si>
    <t>Misc. Iron Gate</t>
  </si>
  <si>
    <t>08300</t>
  </si>
  <si>
    <t>Specialty Doors</t>
  </si>
  <si>
    <t>Paint</t>
  </si>
  <si>
    <t>Garage Fire Sprinkler System</t>
  </si>
  <si>
    <t>03300</t>
  </si>
  <si>
    <t>2-Story PIP Concrete Garage Structure</t>
  </si>
  <si>
    <t>03100</t>
  </si>
  <si>
    <t>Telephone / Fax Monthly Operational Costs</t>
  </si>
  <si>
    <t>06120</t>
  </si>
  <si>
    <t>Site set-up / Mobilization (Move from trailer)</t>
  </si>
  <si>
    <t>Copier / Supplies / Maintenance</t>
  </si>
  <si>
    <t>Jobsite Office Equipment / Furniture</t>
  </si>
  <si>
    <t>TI</t>
  </si>
  <si>
    <t>Steel Frame</t>
  </si>
  <si>
    <t>NA</t>
  </si>
  <si>
    <t>Lease Space/TI Area:</t>
  </si>
  <si>
    <t>Int. Design</t>
  </si>
  <si>
    <t>Est. Date:</t>
  </si>
  <si>
    <t>ALT: Raise FS from 9' to 10' Rm 526</t>
  </si>
  <si>
    <t>Interior Metal Stud Framing + Gypboard</t>
  </si>
  <si>
    <t>SCOPE &amp; BIDS</t>
  </si>
  <si>
    <t>ALTERNATES</t>
  </si>
  <si>
    <t>HOT ITEMS</t>
  </si>
  <si>
    <t>PLUG ITEMS OR CALLS NEEDED</t>
  </si>
  <si>
    <t>HIGHLIGHT LEGEND:</t>
  </si>
  <si>
    <t>Site Work &amp; Demolition</t>
  </si>
  <si>
    <t>Contact:</t>
  </si>
  <si>
    <r>
      <t xml:space="preserve">Vagish Kapila - (cell) 408-410-6151; </t>
    </r>
    <r>
      <rPr>
        <b/>
        <sz val="10"/>
        <color indexed="10"/>
        <rFont val="Arial"/>
        <family val="2"/>
      </rPr>
      <t>vkpaila@bainsdev.com</t>
    </r>
  </si>
  <si>
    <t>San Jose, CA</t>
  </si>
  <si>
    <t>Allied Architects</t>
  </si>
  <si>
    <t>-</t>
  </si>
  <si>
    <t>Drawgings</t>
  </si>
  <si>
    <t>3.0, 4.0, 4.1, 4.3, 4.4, 4.5, 5, 5.1, 5.2</t>
  </si>
  <si>
    <t>Details</t>
  </si>
  <si>
    <t>Resilient flooring, Epoxy &amp; Patio</t>
  </si>
  <si>
    <t>Scaffolding</t>
  </si>
  <si>
    <t>Special Note:</t>
  </si>
  <si>
    <t>Plumbing Totals</t>
  </si>
  <si>
    <t>Miscellaneous/Decorative metals</t>
  </si>
  <si>
    <t>Rough Carpentry</t>
  </si>
  <si>
    <t>Door/Frame/Hardware</t>
  </si>
  <si>
    <t>Fire Caulking</t>
  </si>
  <si>
    <t>Fire Sprinkler Final</t>
  </si>
  <si>
    <t>Fire Alarm</t>
  </si>
  <si>
    <t>06950</t>
  </si>
  <si>
    <t>Permit FEE</t>
  </si>
  <si>
    <t>DUMPSTER</t>
  </si>
  <si>
    <t>Building Bid DETAILS Sheet</t>
  </si>
  <si>
    <t>General Conditions (GA, Superintendent, PM, Office, Admin. Etc)</t>
  </si>
  <si>
    <t>See Summary Sheet for More Details on Total</t>
  </si>
  <si>
    <t>TI Building Area:</t>
  </si>
  <si>
    <t xml:space="preserve">Bid Total </t>
  </si>
  <si>
    <t>N/A</t>
  </si>
  <si>
    <t>Building/Inside Wall Insulation</t>
  </si>
  <si>
    <t>Ceiling Insulations</t>
  </si>
  <si>
    <t>Scaffold/Demo Scrapper</t>
  </si>
  <si>
    <t>Interior Metal Stud Framing + Gypboard (Full Height)</t>
  </si>
  <si>
    <t xml:space="preserve">Assistant Superintendant </t>
  </si>
  <si>
    <t xml:space="preserve">Project Engineer </t>
  </si>
  <si>
    <t>Tilt Up</t>
  </si>
  <si>
    <t>Trash Removal and Disposing</t>
  </si>
  <si>
    <t>Carpet/Vinyl Flooring</t>
  </si>
  <si>
    <t>Fire Life Safety</t>
  </si>
  <si>
    <t>Fire Devices</t>
  </si>
  <si>
    <t>03200</t>
  </si>
  <si>
    <t>FINISHES- WALLS/FRAMES/CEILING/PAINTING</t>
  </si>
  <si>
    <t>FURNISHINGS/TRASH REMOVAL</t>
  </si>
  <si>
    <t>Architect</t>
  </si>
  <si>
    <t>Includes trash dump per city requirements</t>
  </si>
  <si>
    <t xml:space="preserve">Fountain </t>
  </si>
  <si>
    <t>10300</t>
  </si>
  <si>
    <t>10400</t>
  </si>
  <si>
    <t>Special Construction (Water Fountain)</t>
  </si>
  <si>
    <t>05400</t>
  </si>
  <si>
    <t>Cultured Stone - Façade &amp; Planter Caps</t>
  </si>
  <si>
    <t>Metal Awning</t>
  </si>
  <si>
    <t>Fire extinghusier &amp; Knox Box</t>
  </si>
  <si>
    <t>03400</t>
  </si>
  <si>
    <t>09950</t>
  </si>
  <si>
    <t>Carpentry</t>
  </si>
  <si>
    <t>05510</t>
  </si>
  <si>
    <t>Special Carpentry</t>
  </si>
  <si>
    <t>05600</t>
  </si>
  <si>
    <t>Repair Concrete floor</t>
  </si>
  <si>
    <t>Carpentry Totals</t>
  </si>
  <si>
    <t>02180</t>
  </si>
  <si>
    <t>Landscaping</t>
  </si>
  <si>
    <t>Storefront Window and Door/Glass</t>
  </si>
  <si>
    <t>09555</t>
  </si>
  <si>
    <t>Hardwood floor</t>
  </si>
  <si>
    <t>Fire life safety</t>
  </si>
  <si>
    <t>Building Signage and Handicap Sign</t>
  </si>
  <si>
    <t>Dewatering, Sidwalk Repair</t>
  </si>
  <si>
    <t>15350</t>
  </si>
  <si>
    <t>03500</t>
  </si>
  <si>
    <t xml:space="preserve">Stucco </t>
  </si>
  <si>
    <t>Conc Block</t>
  </si>
  <si>
    <t>Misc. Labor</t>
  </si>
  <si>
    <t>Allowance</t>
  </si>
  <si>
    <t>NO ROOF WORK.  NO pedestrian protection (maybe add for temp fence only as separate line item)</t>
  </si>
  <si>
    <t>Added ceramic tiles to bid.  Reduced carpet and hardwood numbers and made allowances</t>
  </si>
  <si>
    <t>Change Date</t>
  </si>
  <si>
    <t>11005</t>
  </si>
  <si>
    <t>11010</t>
  </si>
  <si>
    <t>15540</t>
  </si>
  <si>
    <t>15100</t>
  </si>
  <si>
    <t>NIC</t>
  </si>
  <si>
    <t>SPECIALTIES (Accessories/Fire Alarm/Hood)</t>
  </si>
  <si>
    <t>New Hood/Exhaust/Fire Systems</t>
  </si>
  <si>
    <t>EQUIPMENT/WATER PROOFING</t>
  </si>
  <si>
    <t>Sheet Metal</t>
  </si>
  <si>
    <t>FRP</t>
  </si>
  <si>
    <t>STEEL/MASONRY/STRUCTURAL</t>
  </si>
  <si>
    <t>Sturctural Support</t>
  </si>
  <si>
    <t>02190</t>
  </si>
  <si>
    <t>Ceramic tile floors/Walls/Front counter</t>
  </si>
  <si>
    <t>Plumbing Fixtures/Rough Material</t>
  </si>
  <si>
    <r>
      <rPr>
        <b/>
        <sz val="11"/>
        <rFont val="Arial"/>
        <family val="2"/>
      </rPr>
      <t>N/A</t>
    </r>
  </si>
  <si>
    <t>Includes misc labor for the duration of the job</t>
  </si>
  <si>
    <t>Vinyl Film/Rollup Doors</t>
  </si>
  <si>
    <t>Electrical (Building Interior Fixtures)</t>
  </si>
  <si>
    <t>Acoustical/Hardlid Ceilings-w/seismic+bracing</t>
  </si>
  <si>
    <t>Roofing</t>
  </si>
  <si>
    <r>
      <t xml:space="preserve">Raj - (cell) 510-432-8288; </t>
    </r>
    <r>
      <rPr>
        <b/>
        <sz val="10"/>
        <color indexed="10"/>
        <rFont val="Arial"/>
        <family val="2"/>
      </rPr>
      <t>raj@bainsdev.com</t>
    </r>
  </si>
  <si>
    <t>Signs and Menu</t>
  </si>
  <si>
    <t xml:space="preserve">Complete Project Includes working 5 days/week for all trades under Bains Dev. </t>
  </si>
  <si>
    <t>Signs</t>
  </si>
  <si>
    <t>Projector Screen/White board/Furniture</t>
  </si>
  <si>
    <t xml:space="preserve">Millworkand Casework </t>
  </si>
  <si>
    <t>Trash Dumps needed per city regulations.  NO HAZMAT included</t>
  </si>
  <si>
    <t>Includes fire extingushier for the space per fire department standards</t>
  </si>
  <si>
    <t>Countertops</t>
  </si>
  <si>
    <t>Countertop for the new millwork and cabinets</t>
  </si>
  <si>
    <t>Steel Countertops</t>
  </si>
  <si>
    <t>Fire Wrap Hood Duct/ Ansul System</t>
  </si>
  <si>
    <t>Includes all material, countertop, cabinets, benches woodwork and installation for the  screen, railing and any other millwork</t>
  </si>
  <si>
    <t>Includes rough framing to support cabinets and other items</t>
  </si>
  <si>
    <t>No Fire Sprinklers needed</t>
  </si>
  <si>
    <t>Millwork Extras - Handles, Metal, Cushion</t>
  </si>
  <si>
    <t>Includes extra we got from millwork sub</t>
  </si>
  <si>
    <t xml:space="preserve">Summary - Mr. Jay Immigration Lawyer Office </t>
  </si>
  <si>
    <t>356 S Daniel Way, San Jose, CA 95128</t>
  </si>
  <si>
    <t>Close to Santana Row</t>
  </si>
  <si>
    <t>Drawings by Architects Julio</t>
  </si>
  <si>
    <t>Includes demo of part of existing side walk to create a new ADA drive way per drawings</t>
  </si>
  <si>
    <t>Repair/Rebuild Side Walks</t>
  </si>
  <si>
    <t>Includes new sidewalk, w/o handrail to be build for ADA access and create a new enterance to the new door/space</t>
  </si>
  <si>
    <t>Includes minor crack/repiar on the 2nd floor after remoing old carpet</t>
  </si>
  <si>
    <t>Rough carpentry needed to repair minor ceiling grids.  Repair only.  Repair in 6 areas included</t>
  </si>
  <si>
    <t>Fire caulking 1st floor exit corridor</t>
  </si>
  <si>
    <t>Includes replacing ceiling tiles only for the entire 2 floors, includes material</t>
  </si>
  <si>
    <t xml:space="preserve">Includes 2 new ADA bathrooms on both floors </t>
  </si>
  <si>
    <t>Includes fire alarm systems for both floors</t>
  </si>
  <si>
    <t>Includes plumbing fixtures per drawings for ADA bathroom and replace 2 broken fixtures in mens</t>
  </si>
  <si>
    <t>Version 1A</t>
  </si>
  <si>
    <t>Includes new lights (downlights) in the lobby area and reconfiguring power/wiring for the new office layouts and safeoff during construction</t>
  </si>
  <si>
    <t>.</t>
  </si>
  <si>
    <t>2 new exterior doors per drawings, 8 new 3o7o doors per architect with framing (non fire rated) standard commercial doors</t>
  </si>
  <si>
    <t>Apprx.</t>
  </si>
  <si>
    <t>MEP Engineering/Drawings</t>
  </si>
  <si>
    <t>Approx</t>
  </si>
  <si>
    <t>Electrical (Special Interior Work)</t>
  </si>
  <si>
    <t>Includes making all receptacles reframe and reinstall to ADA height.  Approx. Over 200 receptacples. May require to rewire all receptacles in the entire builidng and both floors</t>
  </si>
  <si>
    <t>Includes new Fire life safety connection put new FLS in the new exit hallway</t>
  </si>
  <si>
    <t>CONCRETE/STUCCO/ASHPALT</t>
  </si>
  <si>
    <t>Concrete Cutting/Pouring/Coring</t>
  </si>
  <si>
    <t>Asphalt/Striping/Seting</t>
  </si>
  <si>
    <t>Includes re-stripping of the back parking lot and shaving just the ADA parking spot</t>
  </si>
  <si>
    <t>Partitions/Showerpan</t>
  </si>
  <si>
    <t>Includes new shower pan, shower head and shower plumbing for the new shower room area</t>
  </si>
  <si>
    <t>Includes new wood floor for the entire top office areas</t>
  </si>
  <si>
    <t xml:space="preserve">Excludes - Permits, City Fees, Overtime and after hour cost.  Excludes x ray and any unforseen issues not visible or on the drawings.  No Hazmat work included.    We recommend 15% contingency for Roof Repair, Insulation, unforseen conditions and may need water proofing </t>
  </si>
  <si>
    <t>Includes creating open ceiling Lounge area, backing for TV, and special rough carpentry for the lobby area</t>
  </si>
  <si>
    <r>
      <t xml:space="preserve">Vagish Kapila - (cell) 408-410-6151; </t>
    </r>
    <r>
      <rPr>
        <b/>
        <sz val="12"/>
        <color indexed="10"/>
        <rFont val="Arial"/>
        <family val="2"/>
      </rPr>
      <t>vkapila@bainsdev.com</t>
    </r>
  </si>
  <si>
    <t>New front lounge area hardwood floor and wood base standard commercial</t>
  </si>
  <si>
    <t>         Contractors’ Lic # 926663</t>
  </si>
  <si>
    <t>Includes inside demo for the space per the plan.  Includes ceiling demo, all carpet to be removed and floor glue removed, demo of 2 bathrooms, demo all tiles in the bathroom.  Includes asbestos demo allowance for $40k.  Also includes demo of entire offices to make it an open ceiling design</t>
  </si>
  <si>
    <t>Includes repairing of current stairs to a new floating stairs</t>
  </si>
  <si>
    <t>Includes structural support for 3 new HVAC units on the roof</t>
  </si>
  <si>
    <t>Includes new stones in the lobby area</t>
  </si>
  <si>
    <t>May be needed on the 2nd floor area</t>
  </si>
  <si>
    <t>New walls and framing per drawings.  Also includes new soffit work around the 4 new offices and lobby area.  Includes new header for all glass storefront offices</t>
  </si>
  <si>
    <t>Includes paint on new walls in the new office area, side walls, outside building</t>
  </si>
  <si>
    <t>Includes new storefront glass for around stair case and 4 new offices for the lawyer areas.  Includes full height glass offices w/o sheetrock walls.  Also includes a new Glass door to replace enterance door from the parking lot area to the office</t>
  </si>
  <si>
    <t>Includes new plumbing for 2 new ADA bathrooms.  Includes removing all plumbing on all bathrooms to install new tiles and put back plumbing fixtures in the same locations.  Includes new plumbing for Sauna and Shower room</t>
  </si>
  <si>
    <t>New electrical and power per drawings for the bathroom and lounge area.  Includes T24 final test and reports.  Replace all fixtures in the entire floors.  Includes rewire new offices and layout.  Includes new power and wiring for open office areas</t>
  </si>
  <si>
    <t>May be needed for shower room</t>
  </si>
  <si>
    <t>Includes new coring for shower room and sauna</t>
  </si>
  <si>
    <t>Includes 3 new HVAC units.  Includes repairing 5 existing units to current standards.  Air balancing</t>
  </si>
  <si>
    <t>Includes new tile standard commercial install in the store and wood base around the front office area only.  Includes new wall and floor tiles for the bathrooms as well.  Standard commercial includes 4 ft high</t>
  </si>
  <si>
    <t>55000</t>
  </si>
  <si>
    <t>151000</t>
  </si>
  <si>
    <t>152000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</si>
</sst>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2" formatCode="_(&quot;$&quot;* #,##0_);_(&quot;$&quot;* \(#,##0\);_(&quot;$&quot;* &quot;-&quot;_);_(@_)"/>
    <numFmt numFmtId="44" formatCode="_(&quot;$&quot;* #,##0.00_);_(&quot;$&quot;* \(#,##0.00\);_(&quot;$&quot;* &quot;-&quot;??_);_(@_)"/>
    <numFmt numFmtId="164" formatCode="_-&quot;$&quot;* #,##0.00_-;\-&quot;$&quot;* #,##0.00_-;_-&quot;$&quot;* &quot;-&quot;??_-;_-@_-"/>
    <numFmt numFmtId="165" formatCode="[$$-409]#,##0.00_);[Red]\([$$-409]#,##0.00\)"/>
    <numFmt numFmtId="166" formatCode="mmmm\ d\,\ yyyy"/>
    <numFmt numFmtId="167" formatCode="_(&quot;$&quot;* #,##0.000_);_(&quot;$&quot;* \(#,##0.000\);_(&quot;$&quot;* &quot;-&quot;??_);_(@_)"/>
    <numFmt numFmtId="168" formatCode="&quot;$&quot;#,##0.00"/>
    <numFmt numFmtId="169" formatCode="_(&quot;$&quot;* #,##0_);_(&quot;$&quot;* \(#,##0\);_(&quot;$&quot;* &quot;-&quot;??_);_(@_)"/>
  </numFmts>
  <fonts count="30">
    <font>
      <sz val="10"/>
      <name val="Arial"/>
    </font>
    <font>
      <sz val="10"/>
      <name val="Arial"/>
      <family val="2"/>
    </font>
    <font>
      <b/>
      <sz val="10"/>
      <name val="Arial"/>
      <family val="2"/>
    </font>
    <font>
      <sz val="10"/>
      <name val="Arial"/>
      <family val="2"/>
    </font>
    <font>
      <b/>
      <u/>
      <sz val="10"/>
      <name val="Arial"/>
      <family val="2"/>
    </font>
    <font>
      <b/>
      <sz val="10"/>
      <color indexed="10"/>
      <name val="Arial"/>
      <family val="2"/>
    </font>
    <font>
      <sz val="12"/>
      <name val="Arial"/>
      <family val="2"/>
    </font>
    <font>
      <sz val="12"/>
      <name val="Times"/>
      <family val="1"/>
    </font>
    <font>
      <b/>
      <sz val="12"/>
      <name val="Arial"/>
      <family val="2"/>
    </font>
    <font>
      <b/>
      <sz val="12"/>
      <name val="Times"/>
      <family val="1"/>
    </font>
    <font>
      <sz val="12"/>
      <name val="Arial"/>
      <family val="2"/>
    </font>
    <font>
      <sz val="11"/>
      <name val="Arial"/>
      <family val="2"/>
    </font>
    <font>
      <b/>
      <sz val="11"/>
      <name val="Arial"/>
      <family val="2"/>
    </font>
    <font>
      <b/>
      <i/>
      <sz val="11"/>
      <name val="Arial"/>
      <family val="2"/>
    </font>
    <font>
      <b/>
      <sz val="12"/>
      <color theme="4"/>
      <name val="Arial"/>
      <family val="2"/>
    </font>
    <font>
      <sz val="12"/>
      <color theme="4"/>
      <name val="Arial"/>
      <family val="2"/>
    </font>
    <font>
      <b/>
      <i/>
      <sz val="13"/>
      <color theme="3" tint="0.39997558519241921"/>
      <name val="Arial"/>
      <family val="2"/>
    </font>
    <font>
      <b/>
      <sz val="10"/>
      <color theme="9" tint="-0.249977111117893"/>
      <name val="Arial"/>
      <family val="2"/>
    </font>
    <font>
      <b/>
      <sz val="12"/>
      <color theme="9" tint="-0.249977111117893"/>
      <name val="Arial"/>
      <family val="2"/>
    </font>
    <font>
      <b/>
      <u/>
      <sz val="12"/>
      <color theme="9" tint="-0.249977111117893"/>
      <name val="Arial"/>
      <family val="2"/>
    </font>
    <font>
      <b/>
      <u/>
      <sz val="10"/>
      <color rgb="FF008000"/>
      <name val="Arial"/>
      <family val="2"/>
    </font>
    <font>
      <i/>
      <sz val="12"/>
      <color rgb="FFFF0000"/>
      <name val="Times"/>
      <family val="1"/>
    </font>
    <font>
      <b/>
      <sz val="12"/>
      <color theme="4"/>
      <name val="Times"/>
      <family val="1"/>
    </font>
    <font>
      <b/>
      <sz val="12"/>
      <color theme="9" tint="-0.249977111117893"/>
      <name val="Times"/>
      <family val="1"/>
    </font>
    <font>
      <sz val="12"/>
      <color theme="9" tint="-0.249977111117893"/>
      <name val="Times"/>
      <family val="1"/>
    </font>
    <font>
      <b/>
      <i/>
      <sz val="12"/>
      <color theme="3" tint="0.39997558519241921"/>
      <name val="Times"/>
      <family val="1"/>
    </font>
    <font>
      <b/>
      <i/>
      <sz val="12"/>
      <color rgb="FFFF0000"/>
      <name val="Arial"/>
      <family val="2"/>
    </font>
    <font>
      <b/>
      <sz val="12"/>
      <color indexed="10"/>
      <name val="Arial"/>
      <family val="2"/>
    </font>
    <font>
      <b/>
      <i/>
      <sz val="10"/>
      <name val="Times New Roman"/>
      <family val="1"/>
    </font>
    <font>
      <b/>
      <sz val="12"/>
      <name val="Times"/>
    </font>
  </fonts>
  <fills count="10">
    <fill>
      <patternFill patternType="none"/>
    </fill>
    <fill>
      <patternFill patternType="gray125"/>
    </fill>
    <fill>
      <patternFill patternType="solid">
        <fgColor indexed="41"/>
        <bgColor indexed="64"/>
      </patternFill>
    </fill>
    <fill>
      <patternFill patternType="solid">
        <fgColor indexed="42"/>
        <bgColor indexed="64"/>
      </patternFill>
    </fill>
    <fill>
      <patternFill patternType="solid">
        <fgColor rgb="FFCCFFFF"/>
        <bgColor rgb="FF000000"/>
      </patternFill>
    </fill>
    <fill>
      <patternFill patternType="solid">
        <fgColor theme="3" tint="0.59999389629810485"/>
        <bgColor indexed="64"/>
      </patternFill>
    </fill>
    <fill>
      <patternFill patternType="solid">
        <fgColor rgb="FFFFC000"/>
        <bgColor indexed="64"/>
      </patternFill>
    </fill>
    <fill>
      <patternFill patternType="solid">
        <fgColor rgb="FF92D050"/>
        <bgColor indexed="64"/>
      </patternFill>
    </fill>
    <fill>
      <patternFill patternType="solid">
        <fgColor rgb="FFFF0000"/>
        <bgColor indexed="64"/>
      </patternFill>
    </fill>
    <fill>
      <patternFill patternType="solid">
        <fgColor rgb="FFFFFF00"/>
        <bgColor indexed="64"/>
      </patternFill>
    </fill>
  </fills>
  <borders count="20">
    <border>
      <left/>
      <right/>
      <top/>
      <bottom/>
      <diagonal/>
    </border>
    <border>
      <left/>
      <right/>
      <top/>
      <bottom style="medium">
        <color indexed="64"/>
      </bottom>
      <diagonal/>
    </border>
    <border>
      <left/>
      <right/>
      <top/>
      <bottom style="double">
        <color indexed="64"/>
      </bottom>
      <diagonal/>
    </border>
    <border>
      <left/>
      <right/>
      <top style="thin">
        <color indexed="64"/>
      </top>
      <bottom/>
      <diagonal/>
    </border>
    <border>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indexed="64"/>
      </right>
      <top/>
      <bottom style="double">
        <color indexed="64"/>
      </bottom>
      <diagonal/>
    </border>
    <border>
      <left style="medium">
        <color indexed="64"/>
      </left>
      <right/>
      <top/>
      <bottom style="double">
        <color indexed="64"/>
      </bottom>
      <diagonal/>
    </border>
    <border>
      <left/>
      <right/>
      <top style="double">
        <color indexed="64"/>
      </top>
      <bottom style="double">
        <color indexed="64"/>
      </bottom>
      <diagonal/>
    </border>
    <border>
      <left/>
      <right style="medium">
        <color indexed="64"/>
      </right>
      <top style="double">
        <color indexed="64"/>
      </top>
      <bottom style="double">
        <color indexed="64"/>
      </bottom>
      <diagonal/>
    </border>
    <border>
      <left/>
      <right/>
      <top style="thin">
        <color indexed="64"/>
      </top>
      <bottom style="medium">
        <color indexed="64"/>
      </bottom>
      <diagonal/>
    </border>
    <border>
      <left style="medium">
        <color indexed="64"/>
      </left>
      <right style="medium">
        <color indexed="64"/>
      </right>
      <top style="medium">
        <color indexed="64"/>
      </top>
      <bottom/>
      <diagonal/>
    </border>
    <border>
      <left/>
      <right/>
      <top style="thin">
        <color indexed="64"/>
      </top>
      <bottom style="double">
        <color indexed="64"/>
      </bottom>
      <diagonal/>
    </border>
    <border>
      <left/>
      <right/>
      <top style="double">
        <color indexed="64"/>
      </top>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275">
    <xf numFmtId="0" fontId="0" fillId="0" borderId="0" xfId="0"/>
    <xf numFmtId="0" fontId="3" fillId="0" borderId="0" xfId="0" applyFont="1"/>
    <xf numFmtId="0" fontId="2" fillId="0" borderId="0" xfId="0" applyFont="1"/>
    <xf numFmtId="0" fontId="3" fillId="0" borderId="1" xfId="0" applyFont="1" applyBorder="1"/>
    <xf numFmtId="0" fontId="3" fillId="0" borderId="2" xfId="0" applyFont="1" applyBorder="1"/>
    <xf numFmtId="0" fontId="3" fillId="0" borderId="0" xfId="0" applyFont="1" applyAlignment="1">
      <alignment horizontal="center"/>
    </xf>
    <xf numFmtId="0" fontId="2" fillId="0" borderId="0" xfId="0" applyFont="1" applyAlignment="1">
      <alignment horizontal="center"/>
    </xf>
    <xf numFmtId="0" fontId="2" fillId="0" borderId="2" xfId="0" applyFont="1" applyBorder="1" applyAlignment="1">
      <alignment horizontal="center"/>
    </xf>
    <xf numFmtId="0" fontId="3" fillId="0" borderId="1" xfId="0" applyFont="1" applyBorder="1" applyAlignment="1">
      <alignment horizontal="center"/>
    </xf>
    <xf numFmtId="0" fontId="0" fillId="0" borderId="0" xfId="0" applyAlignment="1">
      <alignment horizontal="center"/>
    </xf>
    <xf numFmtId="0" fontId="0" fillId="0" borderId="0" xfId="0" quotePrefix="1" applyAlignment="1">
      <alignment horizontal="center"/>
    </xf>
    <xf numFmtId="44" fontId="3" fillId="0" borderId="1" xfId="1" applyFont="1" applyBorder="1"/>
    <xf numFmtId="44" fontId="2" fillId="0" borderId="0" xfId="1" applyFont="1" applyAlignment="1">
      <alignment horizontal="center"/>
    </xf>
    <xf numFmtId="44" fontId="2" fillId="0" borderId="2" xfId="1" applyFont="1" applyBorder="1" applyAlignment="1">
      <alignment horizontal="center"/>
    </xf>
    <xf numFmtId="44" fontId="0" fillId="0" borderId="0" xfId="1" applyFont="1"/>
    <xf numFmtId="44" fontId="0" fillId="0" borderId="1" xfId="1" applyFont="1" applyBorder="1"/>
    <xf numFmtId="9" fontId="0" fillId="0" borderId="0" xfId="2" applyFont="1"/>
    <xf numFmtId="44" fontId="3" fillId="0" borderId="0" xfId="1" applyFont="1"/>
    <xf numFmtId="0" fontId="3" fillId="2" borderId="0" xfId="1" applyNumberFormat="1" applyFont="1" applyFill="1"/>
    <xf numFmtId="0" fontId="2" fillId="0" borderId="0" xfId="0" quotePrefix="1" applyFont="1"/>
    <xf numFmtId="0" fontId="0" fillId="0" borderId="0" xfId="0" applyAlignment="1">
      <alignment horizontal="right"/>
    </xf>
    <xf numFmtId="0" fontId="2" fillId="0" borderId="0" xfId="0" quotePrefix="1" applyFont="1" applyAlignment="1">
      <alignment horizontal="left"/>
    </xf>
    <xf numFmtId="0" fontId="0" fillId="0" borderId="0" xfId="0" quotePrefix="1" applyAlignment="1">
      <alignment horizontal="right"/>
    </xf>
    <xf numFmtId="165" fontId="3" fillId="0" borderId="0" xfId="0" applyNumberFormat="1" applyFont="1"/>
    <xf numFmtId="165" fontId="3" fillId="0" borderId="1" xfId="0" applyNumberFormat="1" applyFont="1" applyBorder="1"/>
    <xf numFmtId="165" fontId="2" fillId="0" borderId="0" xfId="0" applyNumberFormat="1" applyFont="1" applyAlignment="1">
      <alignment horizontal="center"/>
    </xf>
    <xf numFmtId="165" fontId="2" fillId="0" borderId="2" xfId="0" applyNumberFormat="1" applyFont="1" applyBorder="1" applyAlignment="1">
      <alignment horizontal="center"/>
    </xf>
    <xf numFmtId="165" fontId="0" fillId="0" borderId="0" xfId="0" applyNumberFormat="1"/>
    <xf numFmtId="0" fontId="3" fillId="0" borderId="0" xfId="0" quotePrefix="1" applyFont="1" applyAlignment="1">
      <alignment horizontal="right"/>
    </xf>
    <xf numFmtId="0" fontId="0" fillId="0" borderId="3" xfId="0" applyBorder="1" applyAlignment="1">
      <alignment horizontal="center"/>
    </xf>
    <xf numFmtId="0" fontId="0" fillId="0" borderId="3" xfId="0" applyBorder="1"/>
    <xf numFmtId="0" fontId="0" fillId="0" borderId="2" xfId="0" applyBorder="1" applyAlignment="1">
      <alignment horizontal="center"/>
    </xf>
    <xf numFmtId="0" fontId="4" fillId="0" borderId="0" xfId="0" applyFont="1"/>
    <xf numFmtId="44" fontId="0" fillId="0" borderId="3" xfId="1" applyFont="1" applyBorder="1" applyAlignment="1">
      <alignment horizontal="center"/>
    </xf>
    <xf numFmtId="44" fontId="0" fillId="0" borderId="2" xfId="1" applyFont="1" applyBorder="1" applyAlignment="1">
      <alignment horizontal="center"/>
    </xf>
    <xf numFmtId="44" fontId="0" fillId="0" borderId="0" xfId="1" applyFont="1" applyBorder="1" applyAlignment="1">
      <alignment horizontal="center"/>
    </xf>
    <xf numFmtId="38" fontId="3" fillId="2" borderId="0" xfId="1" applyNumberFormat="1" applyFont="1" applyFill="1" applyAlignment="1">
      <alignment horizontal="right"/>
    </xf>
    <xf numFmtId="38" fontId="3" fillId="2" borderId="0" xfId="1" applyNumberFormat="1" applyFont="1" applyFill="1"/>
    <xf numFmtId="38" fontId="0" fillId="2" borderId="0" xfId="0" applyNumberFormat="1" applyFill="1"/>
    <xf numFmtId="38" fontId="0" fillId="0" borderId="3" xfId="0" applyNumberFormat="1" applyBorder="1"/>
    <xf numFmtId="0" fontId="0" fillId="0" borderId="2" xfId="0" applyBorder="1"/>
    <xf numFmtId="38" fontId="0" fillId="0" borderId="2" xfId="0" applyNumberFormat="1" applyBorder="1" applyAlignment="1">
      <alignment horizontal="center"/>
    </xf>
    <xf numFmtId="38" fontId="0" fillId="0" borderId="0" xfId="0" applyNumberFormat="1"/>
    <xf numFmtId="38" fontId="0" fillId="0" borderId="4" xfId="0" applyNumberFormat="1" applyBorder="1"/>
    <xf numFmtId="42" fontId="3" fillId="0" borderId="1" xfId="1" applyNumberFormat="1" applyFont="1" applyBorder="1"/>
    <xf numFmtId="42" fontId="3" fillId="2" borderId="0" xfId="1" applyNumberFormat="1" applyFont="1" applyFill="1"/>
    <xf numFmtId="42" fontId="3" fillId="2" borderId="0" xfId="1" applyNumberFormat="1" applyFont="1" applyFill="1" applyAlignment="1">
      <alignment horizontal="right"/>
    </xf>
    <xf numFmtId="42" fontId="0" fillId="2" borderId="0" xfId="1" applyNumberFormat="1" applyFont="1" applyFill="1"/>
    <xf numFmtId="42" fontId="2" fillId="0" borderId="0" xfId="1" applyNumberFormat="1" applyFont="1" applyAlignment="1">
      <alignment horizontal="center"/>
    </xf>
    <xf numFmtId="42" fontId="2" fillId="0" borderId="2" xfId="1" applyNumberFormat="1" applyFont="1" applyBorder="1" applyAlignment="1">
      <alignment horizontal="center"/>
    </xf>
    <xf numFmtId="42" fontId="0" fillId="0" borderId="0" xfId="1" applyNumberFormat="1" applyFont="1"/>
    <xf numFmtId="42" fontId="0" fillId="0" borderId="4" xfId="1" applyNumberFormat="1" applyFont="1" applyBorder="1"/>
    <xf numFmtId="42" fontId="0" fillId="0" borderId="0" xfId="1" applyNumberFormat="1" applyFont="1" applyBorder="1"/>
    <xf numFmtId="42" fontId="0" fillId="0" borderId="1" xfId="1" applyNumberFormat="1" applyFont="1" applyBorder="1"/>
    <xf numFmtId="0" fontId="2" fillId="3" borderId="0" xfId="0" applyFont="1" applyFill="1"/>
    <xf numFmtId="42" fontId="2" fillId="0" borderId="0" xfId="1" applyNumberFormat="1" applyFont="1"/>
    <xf numFmtId="44" fontId="2" fillId="0" borderId="0" xfId="1" applyFont="1"/>
    <xf numFmtId="0" fontId="2" fillId="0" borderId="0" xfId="0" applyFont="1" applyAlignment="1">
      <alignment horizontal="right"/>
    </xf>
    <xf numFmtId="167" fontId="0" fillId="0" borderId="0" xfId="1" applyNumberFormat="1" applyFont="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2" fillId="0" borderId="0" xfId="0" applyFont="1" applyAlignment="1">
      <alignment horizontal="left" wrapText="1"/>
    </xf>
    <xf numFmtId="0" fontId="3" fillId="0" borderId="5" xfId="0" applyFont="1" applyBorder="1"/>
    <xf numFmtId="0" fontId="3" fillId="0" borderId="6" xfId="0" applyFont="1" applyBorder="1" applyAlignment="1">
      <alignment horizontal="center"/>
    </xf>
    <xf numFmtId="0" fontId="3" fillId="0" borderId="6" xfId="0" applyFont="1" applyBorder="1"/>
    <xf numFmtId="44" fontId="3" fillId="0" borderId="6" xfId="1" applyFont="1" applyBorder="1"/>
    <xf numFmtId="0" fontId="3" fillId="0" borderId="7" xfId="0" applyFont="1" applyBorder="1"/>
    <xf numFmtId="0" fontId="3" fillId="0" borderId="8" xfId="0" applyFont="1" applyBorder="1"/>
    <xf numFmtId="44" fontId="3" fillId="0" borderId="0" xfId="1" applyFont="1" applyBorder="1"/>
    <xf numFmtId="0" fontId="3" fillId="0" borderId="9" xfId="0" applyFont="1" applyBorder="1"/>
    <xf numFmtId="0" fontId="3" fillId="2" borderId="0" xfId="1" applyNumberFormat="1" applyFont="1" applyFill="1" applyBorder="1" applyAlignment="1">
      <alignment horizontal="center"/>
    </xf>
    <xf numFmtId="38" fontId="3" fillId="2" borderId="0" xfId="1" applyNumberFormat="1" applyFont="1" applyFill="1" applyBorder="1" applyAlignment="1">
      <alignment horizontal="center"/>
    </xf>
    <xf numFmtId="38" fontId="0" fillId="2" borderId="0" xfId="0" applyNumberFormat="1" applyFill="1" applyAlignment="1">
      <alignment horizontal="center"/>
    </xf>
    <xf numFmtId="44" fontId="2" fillId="0" borderId="0" xfId="1" applyFont="1" applyBorder="1" applyAlignment="1">
      <alignment horizontal="center"/>
    </xf>
    <xf numFmtId="0" fontId="2" fillId="0" borderId="9" xfId="0" applyFont="1" applyBorder="1" applyAlignment="1">
      <alignment horizontal="center"/>
    </xf>
    <xf numFmtId="0" fontId="2" fillId="0" borderId="12" xfId="0" applyFont="1" applyBorder="1" applyAlignment="1">
      <alignment horizontal="center"/>
    </xf>
    <xf numFmtId="0" fontId="3" fillId="0" borderId="13" xfId="0" applyFont="1" applyBorder="1"/>
    <xf numFmtId="0" fontId="0" fillId="0" borderId="6" xfId="0" applyBorder="1" applyAlignment="1">
      <alignment horizontal="center"/>
    </xf>
    <xf numFmtId="44" fontId="0" fillId="0" borderId="6" xfId="0" applyNumberFormat="1" applyBorder="1"/>
    <xf numFmtId="44" fontId="0" fillId="0" borderId="0" xfId="0" applyNumberFormat="1"/>
    <xf numFmtId="0" fontId="0" fillId="4" borderId="0" xfId="0" applyFill="1" applyAlignment="1">
      <alignment horizontal="center"/>
    </xf>
    <xf numFmtId="38" fontId="0" fillId="4" borderId="0" xfId="0" applyNumberFormat="1" applyFill="1" applyAlignment="1">
      <alignment horizontal="center"/>
    </xf>
    <xf numFmtId="166" fontId="0" fillId="0" borderId="0" xfId="0" applyNumberFormat="1" applyAlignment="1">
      <alignment horizontal="center"/>
    </xf>
    <xf numFmtId="0" fontId="2" fillId="0" borderId="14" xfId="0" applyFont="1" applyBorder="1" applyAlignment="1">
      <alignment horizontal="center"/>
    </xf>
    <xf numFmtId="0" fontId="3" fillId="0" borderId="14" xfId="0" applyFont="1" applyBorder="1"/>
    <xf numFmtId="44" fontId="2" fillId="0" borderId="14" xfId="1" applyFont="1" applyBorder="1" applyAlignment="1">
      <alignment horizontal="center"/>
    </xf>
    <xf numFmtId="0" fontId="2" fillId="0" borderId="15" xfId="0" applyFont="1" applyBorder="1" applyAlignment="1">
      <alignment horizontal="center"/>
    </xf>
    <xf numFmtId="0" fontId="0" fillId="0" borderId="13" xfId="0" applyBorder="1"/>
    <xf numFmtId="0" fontId="6" fillId="0" borderId="0" xfId="0" applyFont="1"/>
    <xf numFmtId="0" fontId="7" fillId="0" borderId="9" xfId="0" applyFont="1" applyBorder="1" applyAlignment="1">
      <alignment wrapText="1"/>
    </xf>
    <xf numFmtId="0" fontId="8" fillId="0" borderId="0" xfId="0" quotePrefix="1" applyFont="1"/>
    <xf numFmtId="0" fontId="8" fillId="0" borderId="0" xfId="0" applyFont="1"/>
    <xf numFmtId="44" fontId="6" fillId="0" borderId="0" xfId="1" applyFont="1" applyBorder="1"/>
    <xf numFmtId="42" fontId="6" fillId="0" borderId="0" xfId="1" applyNumberFormat="1" applyFont="1" applyBorder="1"/>
    <xf numFmtId="0" fontId="6" fillId="0" borderId="0" xfId="0" quotePrefix="1" applyFont="1" applyAlignment="1">
      <alignment horizontal="right"/>
    </xf>
    <xf numFmtId="42" fontId="6" fillId="0" borderId="4" xfId="1" applyNumberFormat="1" applyFont="1" applyBorder="1"/>
    <xf numFmtId="0" fontId="6" fillId="0" borderId="0" xfId="0" applyFont="1" applyAlignment="1">
      <alignment horizontal="right"/>
    </xf>
    <xf numFmtId="0" fontId="8" fillId="0" borderId="0" xfId="0" quotePrefix="1" applyFont="1" applyAlignment="1">
      <alignment horizontal="left"/>
    </xf>
    <xf numFmtId="0" fontId="8" fillId="0" borderId="0" xfId="0" applyFont="1" applyAlignment="1">
      <alignment horizontal="left"/>
    </xf>
    <xf numFmtId="0" fontId="6" fillId="0" borderId="0" xfId="0" applyFont="1" applyAlignment="1">
      <alignment horizontal="left"/>
    </xf>
    <xf numFmtId="42" fontId="8" fillId="0" borderId="0" xfId="1" applyNumberFormat="1" applyFont="1" applyBorder="1"/>
    <xf numFmtId="44" fontId="8" fillId="0" borderId="0" xfId="1" applyFont="1" applyBorder="1"/>
    <xf numFmtId="0" fontId="6" fillId="0" borderId="2" xfId="0" applyFont="1" applyBorder="1"/>
    <xf numFmtId="0" fontId="6" fillId="0" borderId="0" xfId="0" applyFont="1" applyAlignment="1">
      <alignment wrapText="1"/>
    </xf>
    <xf numFmtId="0" fontId="6" fillId="0" borderId="0" xfId="0" applyFont="1" applyAlignment="1">
      <alignment horizontal="center"/>
    </xf>
    <xf numFmtId="42" fontId="14" fillId="0" borderId="16" xfId="0" applyNumberFormat="1" applyFont="1" applyBorder="1"/>
    <xf numFmtId="44" fontId="15" fillId="0" borderId="16" xfId="0" applyNumberFormat="1" applyFont="1" applyBorder="1"/>
    <xf numFmtId="0" fontId="7" fillId="0" borderId="0" xfId="0" applyFont="1" applyAlignment="1">
      <alignment wrapText="1"/>
    </xf>
    <xf numFmtId="0" fontId="3" fillId="0" borderId="6" xfId="0" applyFont="1" applyBorder="1" applyAlignment="1">
      <alignment wrapText="1"/>
    </xf>
    <xf numFmtId="0" fontId="3" fillId="0" borderId="0" xfId="0" applyFont="1" applyAlignment="1">
      <alignment wrapText="1"/>
    </xf>
    <xf numFmtId="0" fontId="16" fillId="0" borderId="0" xfId="0" applyFont="1" applyAlignment="1">
      <alignment wrapText="1"/>
    </xf>
    <xf numFmtId="0" fontId="2" fillId="0" borderId="0" xfId="0" applyFont="1" applyAlignment="1">
      <alignment wrapText="1"/>
    </xf>
    <xf numFmtId="0" fontId="3" fillId="0" borderId="1" xfId="0" applyFont="1" applyBorder="1" applyAlignment="1">
      <alignment wrapText="1"/>
    </xf>
    <xf numFmtId="0" fontId="2" fillId="0" borderId="2" xfId="0" applyFont="1" applyBorder="1" applyAlignment="1">
      <alignment horizontal="center" wrapText="1"/>
    </xf>
    <xf numFmtId="0" fontId="8" fillId="0" borderId="0" xfId="0" applyFont="1" applyAlignment="1">
      <alignment wrapText="1"/>
    </xf>
    <xf numFmtId="0" fontId="8" fillId="3" borderId="0" xfId="0" applyFont="1" applyFill="1" applyAlignment="1">
      <alignment wrapText="1"/>
    </xf>
    <xf numFmtId="0" fontId="8" fillId="5" borderId="0" xfId="0" applyFont="1" applyFill="1" applyAlignment="1">
      <alignment wrapText="1"/>
    </xf>
    <xf numFmtId="0" fontId="6" fillId="0" borderId="2" xfId="0" applyFont="1" applyBorder="1" applyAlignment="1">
      <alignment wrapText="1"/>
    </xf>
    <xf numFmtId="0" fontId="0" fillId="0" borderId="0" xfId="0" applyAlignment="1">
      <alignment wrapText="1"/>
    </xf>
    <xf numFmtId="0" fontId="0" fillId="0" borderId="6" xfId="0" applyBorder="1" applyAlignment="1">
      <alignment wrapText="1"/>
    </xf>
    <xf numFmtId="0" fontId="4" fillId="0" borderId="0" xfId="0" applyFont="1" applyAlignment="1">
      <alignment wrapText="1"/>
    </xf>
    <xf numFmtId="0" fontId="2" fillId="6" borderId="0" xfId="0" applyFont="1" applyFill="1" applyAlignment="1">
      <alignment wrapText="1"/>
    </xf>
    <xf numFmtId="0" fontId="2" fillId="7" borderId="0" xfId="0" applyFont="1" applyFill="1" applyAlignment="1">
      <alignment wrapText="1"/>
    </xf>
    <xf numFmtId="0" fontId="2" fillId="8" borderId="0" xfId="0" applyFont="1" applyFill="1" applyAlignment="1">
      <alignment wrapText="1"/>
    </xf>
    <xf numFmtId="0" fontId="2" fillId="5" borderId="0" xfId="0" applyFont="1" applyFill="1" applyAlignment="1">
      <alignment wrapText="1"/>
    </xf>
    <xf numFmtId="0" fontId="0" fillId="0" borderId="1" xfId="0" applyBorder="1" applyAlignment="1">
      <alignment wrapText="1"/>
    </xf>
    <xf numFmtId="0" fontId="9" fillId="0" borderId="9" xfId="0" applyFont="1" applyBorder="1" applyAlignment="1">
      <alignment wrapText="1"/>
    </xf>
    <xf numFmtId="0" fontId="0" fillId="2" borderId="0" xfId="1" applyNumberFormat="1" applyFont="1" applyFill="1" applyBorder="1" applyAlignment="1">
      <alignment horizontal="center"/>
    </xf>
    <xf numFmtId="0" fontId="17" fillId="0" borderId="6" xfId="0" applyFont="1" applyBorder="1"/>
    <xf numFmtId="0" fontId="17" fillId="0" borderId="0" xfId="0" applyFont="1"/>
    <xf numFmtId="0" fontId="17" fillId="0" borderId="1" xfId="0" applyFont="1" applyBorder="1"/>
    <xf numFmtId="0" fontId="17" fillId="0" borderId="2" xfId="0" applyFont="1" applyBorder="1" applyAlignment="1">
      <alignment horizontal="center"/>
    </xf>
    <xf numFmtId="0" fontId="18" fillId="0" borderId="0" xfId="0" applyFont="1"/>
    <xf numFmtId="2" fontId="18" fillId="0" borderId="0" xfId="0" applyNumberFormat="1" applyFont="1"/>
    <xf numFmtId="2" fontId="19" fillId="0" borderId="0" xfId="0" applyNumberFormat="1" applyFont="1"/>
    <xf numFmtId="2" fontId="18" fillId="0" borderId="2" xfId="0" applyNumberFormat="1" applyFont="1" applyBorder="1"/>
    <xf numFmtId="0" fontId="17" fillId="0" borderId="7" xfId="0" applyFont="1" applyBorder="1"/>
    <xf numFmtId="0" fontId="17" fillId="0" borderId="9" xfId="0" applyFont="1" applyBorder="1"/>
    <xf numFmtId="0" fontId="17" fillId="0" borderId="11" xfId="0" applyFont="1" applyBorder="1"/>
    <xf numFmtId="166" fontId="3" fillId="9" borderId="0" xfId="0" applyNumberFormat="1" applyFont="1" applyFill="1" applyAlignment="1">
      <alignment horizontal="center" wrapText="1"/>
    </xf>
    <xf numFmtId="42" fontId="6" fillId="9" borderId="0" xfId="1" applyNumberFormat="1" applyFont="1" applyFill="1" applyBorder="1"/>
    <xf numFmtId="0" fontId="2" fillId="9" borderId="0" xfId="0" applyFont="1" applyFill="1" applyAlignment="1">
      <alignment wrapText="1"/>
    </xf>
    <xf numFmtId="44" fontId="6" fillId="0" borderId="0" xfId="1" applyFont="1" applyFill="1" applyBorder="1"/>
    <xf numFmtId="42" fontId="6" fillId="0" borderId="0" xfId="1" applyNumberFormat="1" applyFont="1" applyFill="1" applyBorder="1"/>
    <xf numFmtId="0" fontId="10" fillId="0" borderId="0" xfId="0" applyFont="1" applyAlignment="1">
      <alignment wrapText="1"/>
    </xf>
    <xf numFmtId="44" fontId="10" fillId="0" borderId="0" xfId="1" applyFont="1" applyBorder="1"/>
    <xf numFmtId="0" fontId="2" fillId="9" borderId="0" xfId="0" applyFont="1" applyFill="1"/>
    <xf numFmtId="0" fontId="6" fillId="0" borderId="0" xfId="0" quotePrefix="1" applyFont="1" applyAlignment="1">
      <alignment horizontal="left"/>
    </xf>
    <xf numFmtId="0" fontId="2" fillId="0" borderId="8" xfId="0" applyFont="1" applyBorder="1"/>
    <xf numFmtId="0" fontId="9" fillId="0" borderId="0" xfId="0" applyFont="1" applyAlignment="1">
      <alignment wrapText="1"/>
    </xf>
    <xf numFmtId="0" fontId="0" fillId="0" borderId="8" xfId="0" applyBorder="1" applyAlignment="1">
      <alignment horizontal="center"/>
    </xf>
    <xf numFmtId="0" fontId="3" fillId="0" borderId="6" xfId="0" applyFont="1" applyBorder="1" applyAlignment="1">
      <alignment horizontal="left"/>
    </xf>
    <xf numFmtId="0" fontId="16" fillId="0" borderId="0" xfId="0" applyFont="1" applyAlignment="1">
      <alignment horizontal="left"/>
    </xf>
    <xf numFmtId="0" fontId="20" fillId="0" borderId="0" xfId="0" applyFont="1" applyAlignment="1">
      <alignment horizontal="left"/>
    </xf>
    <xf numFmtId="0" fontId="3" fillId="0" borderId="0" xfId="0" applyFont="1" applyAlignment="1">
      <alignment horizontal="left"/>
    </xf>
    <xf numFmtId="44" fontId="3" fillId="0" borderId="6" xfId="1" applyFont="1" applyBorder="1" applyAlignment="1">
      <alignment horizontal="right"/>
    </xf>
    <xf numFmtId="44" fontId="3" fillId="0" borderId="0" xfId="1" applyFont="1" applyBorder="1" applyAlignment="1">
      <alignment horizontal="right"/>
    </xf>
    <xf numFmtId="44" fontId="3" fillId="0" borderId="0" xfId="1" applyFont="1" applyAlignment="1">
      <alignment horizontal="right"/>
    </xf>
    <xf numFmtId="0" fontId="0" fillId="0" borderId="0" xfId="0" applyAlignment="1">
      <alignment horizontal="left"/>
    </xf>
    <xf numFmtId="0" fontId="0" fillId="0" borderId="8" xfId="0" applyBorder="1" applyAlignment="1">
      <alignment horizontal="left"/>
    </xf>
    <xf numFmtId="0" fontId="11" fillId="0" borderId="9" xfId="0" applyFont="1" applyBorder="1" applyAlignment="1">
      <alignment wrapText="1"/>
    </xf>
    <xf numFmtId="0" fontId="11" fillId="0" borderId="7" xfId="0" applyFont="1" applyBorder="1" applyAlignment="1">
      <alignment wrapText="1"/>
    </xf>
    <xf numFmtId="0" fontId="11" fillId="0" borderId="11" xfId="0" applyFont="1" applyBorder="1" applyAlignment="1">
      <alignment wrapText="1"/>
    </xf>
    <xf numFmtId="0" fontId="12" fillId="0" borderId="17" xfId="0" applyFont="1" applyBorder="1" applyAlignment="1">
      <alignment horizontal="center" wrapText="1"/>
    </xf>
    <xf numFmtId="0" fontId="12" fillId="0" borderId="12" xfId="0" applyFont="1" applyBorder="1" applyAlignment="1">
      <alignment horizontal="center" wrapText="1"/>
    </xf>
    <xf numFmtId="0" fontId="11" fillId="0" borderId="0" xfId="0" applyFont="1" applyAlignment="1">
      <alignment wrapText="1"/>
    </xf>
    <xf numFmtId="0" fontId="11" fillId="9" borderId="9" xfId="0" applyFont="1" applyFill="1" applyBorder="1" applyAlignment="1">
      <alignment wrapText="1"/>
    </xf>
    <xf numFmtId="0" fontId="11" fillId="0" borderId="9" xfId="0" applyFont="1" applyBorder="1" applyAlignment="1">
      <alignment horizontal="left" vertical="center" wrapText="1"/>
    </xf>
    <xf numFmtId="0" fontId="12" fillId="0" borderId="9" xfId="0" applyFont="1" applyBorder="1" applyAlignment="1">
      <alignment horizontal="left" vertical="center" wrapText="1" indent="2"/>
    </xf>
    <xf numFmtId="0" fontId="13" fillId="0" borderId="9" xfId="0" applyFont="1" applyBorder="1" applyAlignment="1">
      <alignment wrapText="1"/>
    </xf>
    <xf numFmtId="0" fontId="11" fillId="0" borderId="12" xfId="0" applyFont="1" applyBorder="1" applyAlignment="1">
      <alignment wrapText="1"/>
    </xf>
    <xf numFmtId="0" fontId="9" fillId="0" borderId="0" xfId="0" quotePrefix="1" applyFont="1" applyAlignment="1">
      <alignment horizontal="left"/>
    </xf>
    <xf numFmtId="0" fontId="9" fillId="0" borderId="0" xfId="0" applyFont="1"/>
    <xf numFmtId="0" fontId="9" fillId="0" borderId="0" xfId="0" applyFont="1" applyAlignment="1">
      <alignment horizontal="left"/>
    </xf>
    <xf numFmtId="0" fontId="9" fillId="0" borderId="0" xfId="0" quotePrefix="1" applyFont="1" applyAlignment="1">
      <alignment horizontal="center"/>
    </xf>
    <xf numFmtId="0" fontId="7" fillId="0" borderId="0" xfId="0" quotePrefix="1" applyFont="1" applyAlignment="1">
      <alignment horizontal="center"/>
    </xf>
    <xf numFmtId="0" fontId="7" fillId="0" borderId="0" xfId="0" applyFont="1"/>
    <xf numFmtId="0" fontId="7" fillId="0" borderId="0" xfId="0" applyFont="1" applyAlignment="1">
      <alignment horizontal="left"/>
    </xf>
    <xf numFmtId="0" fontId="9" fillId="0" borderId="0" xfId="0" quotePrefix="1" applyFont="1"/>
    <xf numFmtId="0" fontId="9" fillId="0" borderId="0" xfId="0" applyFont="1" applyAlignment="1">
      <alignment horizontal="left" wrapText="1"/>
    </xf>
    <xf numFmtId="0" fontId="7" fillId="0" borderId="0" xfId="0" quotePrefix="1" applyFont="1"/>
    <xf numFmtId="0" fontId="7" fillId="0" borderId="0" xfId="0" applyFont="1" applyAlignment="1">
      <alignment horizontal="left" wrapText="1"/>
    </xf>
    <xf numFmtId="0" fontId="7" fillId="0" borderId="0" xfId="0" quotePrefix="1" applyFont="1" applyAlignment="1">
      <alignment horizontal="left"/>
    </xf>
    <xf numFmtId="0" fontId="7" fillId="0" borderId="0" xfId="0" applyFont="1" applyAlignment="1">
      <alignment horizontal="center"/>
    </xf>
    <xf numFmtId="168" fontId="7" fillId="0" borderId="0" xfId="1" applyNumberFormat="1" applyFont="1" applyBorder="1" applyAlignment="1">
      <alignment horizontal="right"/>
    </xf>
    <xf numFmtId="0" fontId="7" fillId="0" borderId="9" xfId="0" applyFont="1" applyBorder="1"/>
    <xf numFmtId="168" fontId="9" fillId="0" borderId="0" xfId="1" applyNumberFormat="1" applyFont="1" applyBorder="1" applyAlignment="1">
      <alignment horizontal="right"/>
    </xf>
    <xf numFmtId="44" fontId="9" fillId="0" borderId="9" xfId="0" applyNumberFormat="1" applyFont="1" applyBorder="1"/>
    <xf numFmtId="44" fontId="7" fillId="0" borderId="9" xfId="0" applyNumberFormat="1" applyFont="1" applyBorder="1" applyAlignment="1">
      <alignment horizontal="center"/>
    </xf>
    <xf numFmtId="44" fontId="7" fillId="0" borderId="9" xfId="0" applyNumberFormat="1" applyFont="1" applyBorder="1"/>
    <xf numFmtId="44" fontId="7" fillId="0" borderId="9" xfId="1" applyFont="1" applyBorder="1"/>
    <xf numFmtId="44" fontId="7" fillId="0" borderId="9" xfId="1" applyFont="1" applyBorder="1" applyAlignment="1">
      <alignment horizontal="center"/>
    </xf>
    <xf numFmtId="44" fontId="9" fillId="0" borderId="9" xfId="1" applyFont="1" applyBorder="1"/>
    <xf numFmtId="44" fontId="7" fillId="0" borderId="9" xfId="0" applyNumberFormat="1" applyFont="1" applyBorder="1" applyAlignment="1">
      <alignment horizontal="left"/>
    </xf>
    <xf numFmtId="168" fontId="7" fillId="0" borderId="0" xfId="0" applyNumberFormat="1" applyFont="1" applyAlignment="1">
      <alignment horizontal="right"/>
    </xf>
    <xf numFmtId="44" fontId="9" fillId="0" borderId="9" xfId="0" applyNumberFormat="1" applyFont="1" applyBorder="1" applyAlignment="1">
      <alignment horizontal="center"/>
    </xf>
    <xf numFmtId="42" fontId="7" fillId="0" borderId="1" xfId="1" applyNumberFormat="1" applyFont="1" applyBorder="1" applyAlignment="1">
      <alignment horizontal="right"/>
    </xf>
    <xf numFmtId="42" fontId="7" fillId="0" borderId="0" xfId="1" applyNumberFormat="1" applyFont="1" applyBorder="1" applyAlignment="1">
      <alignment horizontal="right"/>
    </xf>
    <xf numFmtId="10" fontId="7" fillId="0" borderId="0" xfId="2" applyNumberFormat="1" applyFont="1" applyBorder="1"/>
    <xf numFmtId="9" fontId="7" fillId="0" borderId="0" xfId="0" applyNumberFormat="1" applyFont="1"/>
    <xf numFmtId="0" fontId="21" fillId="0" borderId="0" xfId="0" applyFont="1" applyAlignment="1">
      <alignment horizontal="left"/>
    </xf>
    <xf numFmtId="0" fontId="21" fillId="0" borderId="0" xfId="0" applyFont="1"/>
    <xf numFmtId="9" fontId="21" fillId="0" borderId="0" xfId="0" applyNumberFormat="1" applyFont="1"/>
    <xf numFmtId="0" fontId="9" fillId="3" borderId="0" xfId="0" applyFont="1" applyFill="1" applyAlignment="1">
      <alignment horizontal="left"/>
    </xf>
    <xf numFmtId="44" fontId="7" fillId="0" borderId="0" xfId="1" applyFont="1" applyBorder="1" applyAlignment="1">
      <alignment horizontal="right"/>
    </xf>
    <xf numFmtId="42" fontId="7" fillId="0" borderId="0" xfId="1" applyNumberFormat="1" applyFont="1" applyBorder="1" applyAlignment="1">
      <alignment horizontal="left"/>
    </xf>
    <xf numFmtId="169" fontId="7" fillId="0" borderId="0" xfId="1" applyNumberFormat="1" applyFont="1" applyBorder="1" applyAlignment="1">
      <alignment horizontal="left"/>
    </xf>
    <xf numFmtId="42" fontId="7" fillId="0" borderId="1" xfId="1" applyNumberFormat="1" applyFont="1" applyBorder="1" applyAlignment="1">
      <alignment horizontal="left"/>
    </xf>
    <xf numFmtId="42" fontId="21" fillId="0" borderId="1" xfId="1" applyNumberFormat="1" applyFont="1" applyBorder="1" applyAlignment="1">
      <alignment horizontal="left"/>
    </xf>
    <xf numFmtId="164" fontId="21" fillId="0" borderId="0" xfId="1" applyNumberFormat="1" applyFont="1" applyBorder="1" applyAlignment="1">
      <alignment horizontal="left"/>
    </xf>
    <xf numFmtId="42" fontId="22" fillId="0" borderId="18" xfId="1" applyNumberFormat="1" applyFont="1" applyBorder="1" applyAlignment="1">
      <alignment horizontal="left"/>
    </xf>
    <xf numFmtId="0" fontId="23" fillId="0" borderId="0" xfId="0" applyFont="1" applyAlignment="1">
      <alignment wrapText="1"/>
    </xf>
    <xf numFmtId="0" fontId="24" fillId="0" borderId="0" xfId="0" applyFont="1" applyAlignment="1">
      <alignment wrapText="1"/>
    </xf>
    <xf numFmtId="42" fontId="0" fillId="0" borderId="0" xfId="0" applyNumberFormat="1"/>
    <xf numFmtId="0" fontId="11" fillId="0" borderId="0" xfId="0" applyFont="1" applyAlignment="1">
      <alignment horizontal="left" vertical="center" wrapText="1" indent="3"/>
    </xf>
    <xf numFmtId="49" fontId="11" fillId="0" borderId="9" xfId="0" applyNumberFormat="1" applyFont="1" applyBorder="1" applyAlignment="1">
      <alignment wrapText="1"/>
    </xf>
    <xf numFmtId="0" fontId="7" fillId="0" borderId="0" xfId="1" applyNumberFormat="1" applyFont="1" applyBorder="1" applyAlignment="1">
      <alignment horizontal="left" wrapText="1"/>
    </xf>
    <xf numFmtId="0" fontId="7" fillId="0" borderId="0" xfId="0" applyFont="1" applyAlignment="1">
      <alignment horizontal="center" wrapText="1"/>
    </xf>
    <xf numFmtId="0" fontId="7" fillId="0" borderId="0" xfId="1" applyNumberFormat="1" applyFont="1" applyBorder="1" applyAlignment="1">
      <alignment wrapText="1"/>
    </xf>
    <xf numFmtId="168" fontId="25" fillId="0" borderId="0" xfId="0" applyNumberFormat="1" applyFont="1"/>
    <xf numFmtId="0" fontId="25" fillId="0" borderId="0" xfId="0" applyFont="1"/>
    <xf numFmtId="0" fontId="8" fillId="0" borderId="0" xfId="0" applyFont="1" applyAlignment="1">
      <alignment horizontal="center"/>
    </xf>
    <xf numFmtId="44" fontId="6" fillId="0" borderId="0" xfId="1" applyFont="1" applyBorder="1" applyAlignment="1">
      <alignment horizontal="right"/>
    </xf>
    <xf numFmtId="0" fontId="6" fillId="0" borderId="9" xfId="0" applyFont="1" applyBorder="1"/>
    <xf numFmtId="0" fontId="6" fillId="2" borderId="0" xfId="1" applyNumberFormat="1" applyFont="1" applyFill="1" applyBorder="1" applyAlignment="1">
      <alignment horizontal="right"/>
    </xf>
    <xf numFmtId="38" fontId="6" fillId="2" borderId="0" xfId="1" applyNumberFormat="1" applyFont="1" applyFill="1" applyBorder="1" applyAlignment="1">
      <alignment horizontal="right"/>
    </xf>
    <xf numFmtId="166" fontId="6" fillId="0" borderId="0" xfId="0" applyNumberFormat="1" applyFont="1" applyAlignment="1">
      <alignment horizontal="center"/>
    </xf>
    <xf numFmtId="166" fontId="6" fillId="0" borderId="0" xfId="0" applyNumberFormat="1" applyFont="1" applyAlignment="1">
      <alignment horizontal="left"/>
    </xf>
    <xf numFmtId="38" fontId="6" fillId="2" borderId="0" xfId="0" applyNumberFormat="1" applyFont="1" applyFill="1" applyAlignment="1">
      <alignment horizontal="right"/>
    </xf>
    <xf numFmtId="0" fontId="8" fillId="0" borderId="0" xfId="0" applyFont="1" applyAlignment="1">
      <alignment horizontal="left" wrapText="1"/>
    </xf>
    <xf numFmtId="0" fontId="6" fillId="0" borderId="1" xfId="0" applyFont="1" applyBorder="1" applyAlignment="1">
      <alignment horizontal="center"/>
    </xf>
    <xf numFmtId="0" fontId="6" fillId="0" borderId="1" xfId="0" applyFont="1" applyBorder="1"/>
    <xf numFmtId="0" fontId="6" fillId="0" borderId="1" xfId="0" applyFont="1" applyBorder="1" applyAlignment="1">
      <alignment horizontal="left"/>
    </xf>
    <xf numFmtId="44" fontId="6" fillId="0" borderId="1" xfId="1" applyFont="1" applyBorder="1" applyAlignment="1">
      <alignment horizontal="right"/>
    </xf>
    <xf numFmtId="0" fontId="6" fillId="0" borderId="11" xfId="0" applyFont="1" applyBorder="1"/>
    <xf numFmtId="44" fontId="8" fillId="0" borderId="0" xfId="1" applyFont="1" applyBorder="1" applyAlignment="1">
      <alignment horizontal="right"/>
    </xf>
    <xf numFmtId="0" fontId="8" fillId="0" borderId="9" xfId="0" applyFont="1" applyBorder="1" applyAlignment="1">
      <alignment horizontal="center"/>
    </xf>
    <xf numFmtId="0" fontId="8" fillId="0" borderId="2" xfId="0" applyFont="1" applyBorder="1" applyAlignment="1">
      <alignment horizontal="center"/>
    </xf>
    <xf numFmtId="0" fontId="8" fillId="0" borderId="2" xfId="0" applyFont="1" applyBorder="1" applyAlignment="1">
      <alignment horizontal="left"/>
    </xf>
    <xf numFmtId="44" fontId="8" fillId="0" borderId="2" xfId="1" applyFont="1" applyBorder="1" applyAlignment="1">
      <alignment horizontal="right"/>
    </xf>
    <xf numFmtId="0" fontId="8" fillId="0" borderId="12" xfId="0" applyFont="1" applyBorder="1" applyAlignment="1">
      <alignment horizontal="center"/>
    </xf>
    <xf numFmtId="0" fontId="9" fillId="0" borderId="0" xfId="0" applyFont="1" applyAlignment="1">
      <alignment horizontal="center"/>
    </xf>
    <xf numFmtId="0" fontId="6" fillId="0" borderId="2" xfId="0" applyFont="1" applyBorder="1" applyAlignment="1">
      <alignment horizontal="center"/>
    </xf>
    <xf numFmtId="44" fontId="6" fillId="0" borderId="0" xfId="1" applyFont="1" applyAlignment="1">
      <alignment horizontal="right"/>
    </xf>
    <xf numFmtId="0" fontId="28" fillId="0" borderId="0" xfId="0" applyFont="1"/>
    <xf numFmtId="44" fontId="9" fillId="0" borderId="0" xfId="0" applyNumberFormat="1" applyFont="1"/>
    <xf numFmtId="44" fontId="7" fillId="0" borderId="0" xfId="0" applyNumberFormat="1" applyFont="1" applyAlignment="1">
      <alignment horizontal="center"/>
    </xf>
    <xf numFmtId="44" fontId="7" fillId="0" borderId="0" xfId="0" applyNumberFormat="1" applyFont="1"/>
    <xf numFmtId="44" fontId="7" fillId="0" borderId="0" xfId="1" applyFont="1" applyBorder="1"/>
    <xf numFmtId="44" fontId="7" fillId="0" borderId="0" xfId="1" applyFont="1" applyBorder="1" applyAlignment="1">
      <alignment horizontal="center"/>
    </xf>
    <xf numFmtId="44" fontId="9" fillId="0" borderId="0" xfId="1" applyFont="1" applyBorder="1"/>
    <xf numFmtId="44" fontId="7" fillId="0" borderId="0" xfId="0" applyNumberFormat="1" applyFont="1" applyAlignment="1">
      <alignment horizontal="left"/>
    </xf>
    <xf numFmtId="44" fontId="9" fillId="0" borderId="0" xfId="0" applyNumberFormat="1" applyFont="1" applyAlignment="1">
      <alignment horizontal="center"/>
    </xf>
    <xf numFmtId="168" fontId="9" fillId="0" borderId="0" xfId="1" applyNumberFormat="1" applyFont="1" applyBorder="1" applyAlignment="1">
      <alignment horizontal="left"/>
    </xf>
    <xf numFmtId="168" fontId="29" fillId="0" borderId="0" xfId="1" applyNumberFormat="1" applyFont="1" applyBorder="1" applyAlignment="1">
      <alignment horizontal="left"/>
    </xf>
    <xf numFmtId="0" fontId="7" fillId="0" borderId="0" xfId="0" applyFont="1" applyAlignment="1">
      <alignment wrapText="1"/>
    </xf>
    <xf numFmtId="0" fontId="7" fillId="0" borderId="0" xfId="0" applyFont="1" applyAlignment="1">
      <alignment horizontal="left" wrapText="1"/>
    </xf>
    <xf numFmtId="0" fontId="6" fillId="0" borderId="0" xfId="0" applyFont="1" applyAlignment="1">
      <alignment horizontal="left" wrapText="1"/>
    </xf>
    <xf numFmtId="0" fontId="7" fillId="0" borderId="19" xfId="0" applyFont="1" applyBorder="1" applyAlignment="1">
      <alignment wrapText="1"/>
    </xf>
    <xf numFmtId="0" fontId="9" fillId="0" borderId="0" xfId="0" applyFont="1" applyAlignment="1">
      <alignment wrapText="1"/>
    </xf>
    <xf numFmtId="0" fontId="7" fillId="0" borderId="0" xfId="0" applyFont="1" applyAlignment="1">
      <alignment horizontal="center" wrapText="1"/>
    </xf>
    <xf numFmtId="0" fontId="7" fillId="0" borderId="0" xfId="1" applyNumberFormat="1" applyFont="1" applyBorder="1" applyAlignment="1">
      <alignment horizontal="left" wrapText="1"/>
    </xf>
    <xf numFmtId="0" fontId="23" fillId="0" borderId="0" xfId="0" applyFont="1" applyAlignment="1">
      <alignment horizontal="center" wrapText="1"/>
    </xf>
    <xf numFmtId="49" fontId="7" fillId="0" borderId="0" xfId="0" applyNumberFormat="1" applyFont="1" applyAlignment="1">
      <alignment horizontal="left" wrapText="1"/>
    </xf>
    <xf numFmtId="0" fontId="26" fillId="0" borderId="0" xfId="0" applyFont="1" applyAlignment="1">
      <alignment wrapText="1"/>
    </xf>
    <xf numFmtId="0" fontId="6" fillId="0" borderId="0" xfId="0" applyFont="1" applyAlignment="1">
      <alignment wrapText="1"/>
    </xf>
    <xf numFmtId="0" fontId="7" fillId="0" borderId="9" xfId="0" applyFont="1" applyBorder="1" applyAlignment="1">
      <alignment wrapText="1"/>
    </xf>
    <xf numFmtId="0" fontId="7" fillId="0" borderId="2" xfId="0" applyFont="1" applyBorder="1" applyAlignment="1">
      <alignment wrapText="1"/>
    </xf>
    <xf numFmtId="0" fontId="7" fillId="0" borderId="12" xfId="0" applyFont="1" applyBorder="1" applyAlignment="1">
      <alignment wrapText="1"/>
    </xf>
    <xf numFmtId="0" fontId="7" fillId="0" borderId="0" xfId="1" applyNumberFormat="1" applyFont="1" applyBorder="1" applyAlignment="1">
      <alignment wrapText="1"/>
    </xf>
    <xf numFmtId="168" fontId="3" fillId="0" borderId="0" xfId="0" applyNumberFormat="1" applyFont="1"/>
  </cellXfs>
  <cellStyles count="3">
    <cellStyle name="Currency" xfId="1" builtinId="4"/>
    <cellStyle name="Normal" xfId="0" builtinId="0"/>
    <cellStyle name="Percent" xfId="2" builtinId="5"/>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7</xdr:col>
      <xdr:colOff>2755900</xdr:colOff>
      <xdr:row>0</xdr:row>
      <xdr:rowOff>114300</xdr:rowOff>
    </xdr:from>
    <xdr:to>
      <xdr:col>8</xdr:col>
      <xdr:colOff>147782</xdr:colOff>
      <xdr:row>4</xdr:row>
      <xdr:rowOff>203200</xdr:rowOff>
    </xdr:to>
    <xdr:pic>
      <xdr:nvPicPr>
        <xdr:cNvPr id="1811" name="Picture 1">
          <a:extLst>
            <a:ext uri="{FF2B5EF4-FFF2-40B4-BE49-F238E27FC236}">
              <a16:creationId xmlns:a16="http://schemas.microsoft.com/office/drawing/2014/main" id="{16F5D9C7-E864-A377-F8BA-10A37F5F40A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623300" y="114300"/>
          <a:ext cx="2197100" cy="673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0</xdr:colOff>
      <xdr:row>0</xdr:row>
      <xdr:rowOff>0</xdr:rowOff>
    </xdr:from>
    <xdr:to>
      <xdr:col>8</xdr:col>
      <xdr:colOff>546100</xdr:colOff>
      <xdr:row>3</xdr:row>
      <xdr:rowOff>63500</xdr:rowOff>
    </xdr:to>
    <xdr:pic>
      <xdr:nvPicPr>
        <xdr:cNvPr id="2563" name="Picture 2" descr="clip_image001">
          <a:extLst>
            <a:ext uri="{FF2B5EF4-FFF2-40B4-BE49-F238E27FC236}">
              <a16:creationId xmlns:a16="http://schemas.microsoft.com/office/drawing/2014/main" id="{A7A4E35B-ECCB-9152-C60C-A31E7F7F7EA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610100" y="0"/>
          <a:ext cx="2197100" cy="558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9</xdr:col>
      <xdr:colOff>228600</xdr:colOff>
      <xdr:row>0</xdr:row>
      <xdr:rowOff>50800</xdr:rowOff>
    </xdr:from>
    <xdr:to>
      <xdr:col>9</xdr:col>
      <xdr:colOff>2768600</xdr:colOff>
      <xdr:row>4</xdr:row>
      <xdr:rowOff>101600</xdr:rowOff>
    </xdr:to>
    <xdr:pic>
      <xdr:nvPicPr>
        <xdr:cNvPr id="3616" name="Picture 4">
          <a:extLst>
            <a:ext uri="{FF2B5EF4-FFF2-40B4-BE49-F238E27FC236}">
              <a16:creationId xmlns:a16="http://schemas.microsoft.com/office/drawing/2014/main" id="{5E758382-6F54-B40C-0474-12655BAD00B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32800" y="50800"/>
          <a:ext cx="2540000" cy="812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L144"/>
  <sheetViews>
    <sheetView tabSelected="1" topLeftCell="A13" zoomScale="110" zoomScaleNormal="110" workbookViewId="0">
      <pane xSplit="5" ySplit="12" topLeftCell="F59" activePane="bottomRight" state="frozen"/>
      <selection activeCell="A13" sqref="A13"/>
      <selection pane="topRight" activeCell="F13" sqref="F13"/>
      <selection pane="bottomLeft" activeCell="A25" sqref="A25"/>
      <selection pane="bottomRight" activeCell="B110" sqref="B110"/>
    </sheetView>
  </sheetViews>
  <sheetFormatPr baseColWidth="10" defaultColWidth="8.83203125" defaultRowHeight="13"/>
  <cols>
    <col min="1" max="1" width="1.33203125" style="1" customWidth="1"/>
    <col min="2" max="2" width="9.1640625" style="5" customWidth="1"/>
    <col min="3" max="3" width="2" style="1" customWidth="1"/>
    <col min="4" max="4" width="45.5" style="158" customWidth="1"/>
    <col min="5" max="5" width="1.83203125" style="158" customWidth="1"/>
    <col min="6" max="6" width="8.33203125" style="1" customWidth="1"/>
    <col min="7" max="7" width="8.83203125" style="1" customWidth="1"/>
    <col min="8" max="8" width="63" style="1" customWidth="1"/>
    <col min="9" max="9" width="18" style="161" customWidth="1"/>
    <col min="10" max="10" width="12.1640625" style="1" customWidth="1"/>
    <col min="11" max="11" width="4.5" style="1" customWidth="1"/>
    <col min="12" max="12" width="10.1640625" style="1" bestFit="1" customWidth="1"/>
    <col min="13" max="16384" width="8.83203125" style="1"/>
  </cols>
  <sheetData>
    <row r="1" spans="1:11">
      <c r="A1" s="66"/>
      <c r="B1" s="67"/>
      <c r="C1" s="68"/>
      <c r="D1" s="155"/>
      <c r="E1" s="155"/>
      <c r="F1" s="68"/>
      <c r="G1" s="68"/>
      <c r="H1" s="68"/>
      <c r="I1" s="159"/>
      <c r="J1" s="70"/>
    </row>
    <row r="2" spans="1:11" ht="17">
      <c r="A2" s="71"/>
      <c r="D2" s="156" t="s">
        <v>599</v>
      </c>
      <c r="E2" s="156"/>
      <c r="I2" s="248" t="s">
        <v>634</v>
      </c>
      <c r="J2" s="73"/>
    </row>
    <row r="3" spans="1:11">
      <c r="A3" s="71"/>
      <c r="D3" s="157" t="s">
        <v>613</v>
      </c>
      <c r="E3" s="157"/>
      <c r="I3" s="160"/>
      <c r="J3" s="73"/>
    </row>
    <row r="4" spans="1:11" ht="3" customHeight="1">
      <c r="A4" s="71"/>
      <c r="I4" s="160"/>
      <c r="J4" s="73"/>
    </row>
    <row r="5" spans="1:11" ht="35" customHeight="1">
      <c r="A5" s="71"/>
      <c r="B5" s="225" t="s">
        <v>495</v>
      </c>
      <c r="C5" s="92"/>
      <c r="D5" s="268" t="s">
        <v>584</v>
      </c>
      <c r="E5" s="268"/>
      <c r="F5" s="268"/>
      <c r="G5" s="268"/>
      <c r="H5" s="92"/>
      <c r="I5" s="226"/>
      <c r="J5" s="227"/>
      <c r="K5" s="92"/>
    </row>
    <row r="6" spans="1:11" ht="16">
      <c r="A6" s="71"/>
      <c r="B6" s="108"/>
      <c r="C6" s="92"/>
      <c r="D6" s="103"/>
      <c r="E6" s="103"/>
      <c r="F6" s="92"/>
      <c r="G6" s="92"/>
      <c r="H6" s="92"/>
      <c r="I6" s="226"/>
      <c r="J6" s="227"/>
      <c r="K6" s="92"/>
    </row>
    <row r="7" spans="1:11" ht="16">
      <c r="A7" s="71"/>
      <c r="B7" s="92" t="s">
        <v>0</v>
      </c>
      <c r="C7" s="92"/>
      <c r="D7" s="95" t="s">
        <v>600</v>
      </c>
      <c r="E7" s="102"/>
      <c r="F7" s="92" t="s">
        <v>3</v>
      </c>
      <c r="G7" s="92"/>
      <c r="H7" s="92"/>
      <c r="I7" s="228" t="s">
        <v>471</v>
      </c>
      <c r="J7" s="227"/>
      <c r="K7" s="92"/>
    </row>
    <row r="8" spans="1:11" ht="24" customHeight="1">
      <c r="A8" s="71"/>
      <c r="B8" s="92" t="s">
        <v>2</v>
      </c>
      <c r="C8" s="92"/>
      <c r="D8" s="95" t="s">
        <v>601</v>
      </c>
      <c r="E8" s="102"/>
      <c r="F8" s="92" t="s">
        <v>4</v>
      </c>
      <c r="G8" s="92"/>
      <c r="H8" s="92"/>
      <c r="I8" s="228" t="s">
        <v>518</v>
      </c>
      <c r="J8" s="227"/>
      <c r="K8" s="92"/>
    </row>
    <row r="9" spans="1:11" ht="16">
      <c r="A9" s="71"/>
      <c r="B9" s="92"/>
      <c r="C9" s="92"/>
      <c r="D9" s="95"/>
      <c r="E9" s="102"/>
      <c r="F9" s="92" t="s">
        <v>6</v>
      </c>
      <c r="G9" s="92"/>
      <c r="H9" s="92"/>
      <c r="I9" s="229" t="s">
        <v>473</v>
      </c>
      <c r="J9" s="227"/>
      <c r="K9" s="92"/>
    </row>
    <row r="10" spans="1:11" ht="16">
      <c r="A10" s="71"/>
      <c r="B10" s="92"/>
      <c r="C10" s="92"/>
      <c r="D10" s="95"/>
      <c r="E10" s="102"/>
      <c r="F10" s="92" t="s">
        <v>7</v>
      </c>
      <c r="G10" s="92"/>
      <c r="H10" s="92"/>
      <c r="I10" s="229">
        <v>1</v>
      </c>
      <c r="J10" s="227"/>
      <c r="K10" s="92"/>
    </row>
    <row r="11" spans="1:11" ht="16">
      <c r="A11" s="71"/>
      <c r="B11" s="92"/>
      <c r="C11" s="92"/>
      <c r="D11" s="92"/>
      <c r="E11" s="103"/>
      <c r="F11" s="92" t="s">
        <v>8</v>
      </c>
      <c r="G11" s="92"/>
      <c r="H11" s="92"/>
      <c r="I11" s="229">
        <v>2</v>
      </c>
      <c r="J11" s="227"/>
      <c r="K11" s="92"/>
    </row>
    <row r="12" spans="1:11" ht="16">
      <c r="A12" s="71"/>
      <c r="B12" s="92" t="s">
        <v>1</v>
      </c>
      <c r="C12" s="92"/>
      <c r="D12" s="95" t="s">
        <v>511</v>
      </c>
      <c r="E12" s="102"/>
      <c r="F12" s="92" t="s">
        <v>57</v>
      </c>
      <c r="G12" s="92"/>
      <c r="H12" s="92"/>
      <c r="I12" s="229">
        <v>2</v>
      </c>
      <c r="J12" s="227"/>
      <c r="K12" s="92"/>
    </row>
    <row r="13" spans="1:11" ht="16">
      <c r="A13" s="71"/>
      <c r="B13" s="92" t="s">
        <v>490</v>
      </c>
      <c r="C13" s="92"/>
      <c r="D13" s="95" t="s">
        <v>602</v>
      </c>
      <c r="E13" s="102"/>
      <c r="F13" s="92"/>
      <c r="G13" s="92"/>
      <c r="H13" s="92"/>
      <c r="I13" s="229"/>
      <c r="J13" s="227"/>
      <c r="K13" s="92"/>
    </row>
    <row r="14" spans="1:11" ht="16">
      <c r="A14" s="71"/>
      <c r="B14" s="92"/>
      <c r="C14" s="92"/>
      <c r="D14" s="95"/>
      <c r="E14" s="102"/>
      <c r="F14" s="92"/>
      <c r="G14" s="92"/>
      <c r="H14" s="92"/>
      <c r="I14" s="229"/>
      <c r="J14" s="227"/>
      <c r="K14" s="92"/>
    </row>
    <row r="15" spans="1:11" ht="16">
      <c r="A15" s="71"/>
      <c r="B15" s="92" t="s">
        <v>475</v>
      </c>
      <c r="C15" s="92"/>
      <c r="D15" s="95"/>
      <c r="E15" s="102"/>
      <c r="F15" s="92" t="s">
        <v>308</v>
      </c>
      <c r="G15" s="92"/>
      <c r="H15" s="92"/>
      <c r="I15" s="229">
        <v>0</v>
      </c>
      <c r="J15" s="227" t="s">
        <v>58</v>
      </c>
      <c r="K15" s="92"/>
    </row>
    <row r="16" spans="1:11" ht="16">
      <c r="A16" s="71"/>
      <c r="B16" s="92"/>
      <c r="C16" s="92"/>
      <c r="D16" s="92"/>
      <c r="E16" s="103"/>
      <c r="F16" s="92" t="s">
        <v>509</v>
      </c>
      <c r="G16" s="92"/>
      <c r="H16" s="92"/>
      <c r="I16" s="229">
        <v>8720</v>
      </c>
      <c r="J16" s="227" t="s">
        <v>58</v>
      </c>
      <c r="K16" s="92"/>
    </row>
    <row r="17" spans="1:11" ht="16">
      <c r="A17" s="71"/>
      <c r="B17" s="92" t="s">
        <v>476</v>
      </c>
      <c r="C17" s="92"/>
      <c r="D17" s="230">
        <v>44783</v>
      </c>
      <c r="E17" s="231"/>
      <c r="F17" s="92" t="s">
        <v>474</v>
      </c>
      <c r="G17" s="92"/>
      <c r="H17" s="92"/>
      <c r="I17" s="229">
        <v>8720</v>
      </c>
      <c r="J17" s="227" t="s">
        <v>58</v>
      </c>
      <c r="K17" s="92"/>
    </row>
    <row r="18" spans="1:11" ht="16">
      <c r="A18" s="71"/>
      <c r="B18" s="92"/>
      <c r="C18" s="92"/>
      <c r="D18" s="92"/>
      <c r="E18" s="103"/>
      <c r="F18" s="92" t="s">
        <v>9</v>
      </c>
      <c r="G18" s="92"/>
      <c r="H18" s="92"/>
      <c r="I18" s="232" t="s">
        <v>473</v>
      </c>
      <c r="J18" s="227" t="s">
        <v>58</v>
      </c>
      <c r="K18" s="92"/>
    </row>
    <row r="19" spans="1:11" ht="28" customHeight="1">
      <c r="A19" s="71"/>
      <c r="B19" s="92" t="s">
        <v>485</v>
      </c>
      <c r="C19" s="92"/>
      <c r="D19" s="233" t="s">
        <v>632</v>
      </c>
      <c r="E19" s="233"/>
      <c r="F19" s="92" t="s">
        <v>189</v>
      </c>
      <c r="G19" s="92"/>
      <c r="H19" s="92"/>
      <c r="I19" s="232" t="s">
        <v>473</v>
      </c>
      <c r="J19" s="227" t="s">
        <v>58</v>
      </c>
      <c r="K19" s="92"/>
    </row>
    <row r="20" spans="1:11" ht="26" customHeight="1">
      <c r="A20" s="71"/>
      <c r="B20" s="108"/>
      <c r="C20" s="92"/>
      <c r="D20" s="233"/>
      <c r="E20" s="233"/>
      <c r="F20" s="92" t="s">
        <v>307</v>
      </c>
      <c r="G20" s="92"/>
      <c r="H20" s="92"/>
      <c r="I20" s="232" t="s">
        <v>473</v>
      </c>
      <c r="J20" s="227" t="s">
        <v>58</v>
      </c>
      <c r="K20" s="92"/>
    </row>
    <row r="21" spans="1:11" ht="6" customHeight="1" thickBot="1">
      <c r="A21" s="71"/>
      <c r="B21" s="234"/>
      <c r="C21" s="235"/>
      <c r="D21" s="236"/>
      <c r="E21" s="236"/>
      <c r="F21" s="235"/>
      <c r="G21" s="235"/>
      <c r="H21" s="235"/>
      <c r="I21" s="237"/>
      <c r="J21" s="238"/>
      <c r="K21" s="92"/>
    </row>
    <row r="22" spans="1:11" ht="16">
      <c r="A22" s="71"/>
      <c r="B22" s="225"/>
      <c r="C22" s="92"/>
      <c r="D22" s="103"/>
      <c r="E22" s="103"/>
      <c r="F22" s="92"/>
      <c r="G22" s="92"/>
      <c r="H22" s="225"/>
      <c r="I22" s="239" t="s">
        <v>39</v>
      </c>
      <c r="J22" s="240" t="s">
        <v>15</v>
      </c>
      <c r="K22" s="225"/>
    </row>
    <row r="23" spans="1:11" ht="17" thickBot="1">
      <c r="A23" s="71"/>
      <c r="B23" s="241" t="s">
        <v>11</v>
      </c>
      <c r="C23" s="106"/>
      <c r="D23" s="242" t="s">
        <v>12</v>
      </c>
      <c r="E23" s="242"/>
      <c r="F23" s="241" t="s">
        <v>492</v>
      </c>
      <c r="G23" s="241"/>
      <c r="H23" s="241"/>
      <c r="I23" s="243" t="s">
        <v>15</v>
      </c>
      <c r="J23" s="244" t="s">
        <v>40</v>
      </c>
      <c r="K23" s="225"/>
    </row>
    <row r="24" spans="1:11" ht="17" thickTop="1">
      <c r="A24" s="71"/>
      <c r="B24" s="187"/>
      <c r="C24" s="180"/>
      <c r="D24" s="181"/>
      <c r="E24" s="181"/>
      <c r="F24" s="262"/>
      <c r="G24" s="262"/>
      <c r="H24" s="262"/>
      <c r="I24" s="188"/>
      <c r="J24" s="189"/>
      <c r="K24" s="180"/>
    </row>
    <row r="25" spans="1:11" s="2" customFormat="1" ht="16">
      <c r="A25" s="152"/>
      <c r="B25" s="175" t="s">
        <v>16</v>
      </c>
      <c r="C25" s="176"/>
      <c r="D25" s="177" t="s">
        <v>90</v>
      </c>
      <c r="E25" s="177"/>
      <c r="F25" s="260"/>
      <c r="G25" s="260"/>
      <c r="H25" s="260"/>
      <c r="I25" s="257">
        <f>'Off-Site Summary'!H17+'Site Summary'!H17+'Garage Summary'!H17+'Building Summary'!H22</f>
        <v>410</v>
      </c>
      <c r="J25" s="191">
        <f>I25/I17</f>
        <v>4.7018348623853214E-2</v>
      </c>
      <c r="K25" s="249"/>
    </row>
    <row r="26" spans="1:11" s="9" customFormat="1" ht="15" customHeight="1">
      <c r="A26" s="154"/>
      <c r="B26" s="179" t="str">
        <f>'Building Detail'!B26</f>
        <v>01100</v>
      </c>
      <c r="C26" s="187"/>
      <c r="D26" s="181" t="str">
        <f>'Building Detail'!D26</f>
        <v>Scaffold/Demo Scrapper</v>
      </c>
      <c r="E26" s="181"/>
      <c r="F26" s="260" t="str">
        <f>'Building Detail'!J26</f>
        <v>NIC</v>
      </c>
      <c r="G26" s="260"/>
      <c r="H26" s="260"/>
      <c r="I26" s="188">
        <f>'Building Detail'!H26</f>
        <v>0</v>
      </c>
      <c r="J26" s="192">
        <f>'Building Detail'!I35</f>
        <v>0</v>
      </c>
      <c r="K26" s="250"/>
    </row>
    <row r="27" spans="1:11" s="9" customFormat="1" ht="15" customHeight="1">
      <c r="A27" s="154"/>
      <c r="B27" s="179" t="str">
        <f>'Building Detail'!B27</f>
        <v>01200</v>
      </c>
      <c r="C27" s="187"/>
      <c r="D27" s="181" t="str">
        <f>'Building Detail'!D27</f>
        <v>Signs and Menu</v>
      </c>
      <c r="E27" s="181"/>
      <c r="F27" s="260" t="str">
        <f>'Building Detail'!J27</f>
        <v>NIC</v>
      </c>
      <c r="G27" s="260"/>
      <c r="H27" s="260"/>
      <c r="I27" s="188">
        <f>'Building Detail'!H27</f>
        <v>410</v>
      </c>
      <c r="J27" s="192">
        <f>'Building Detail'!I36</f>
        <v>0</v>
      </c>
      <c r="K27" s="250"/>
    </row>
    <row r="28" spans="1:11" s="2" customFormat="1" ht="16">
      <c r="A28" s="152"/>
      <c r="B28" s="178"/>
      <c r="C28" s="176"/>
      <c r="D28" s="177"/>
      <c r="E28" s="177"/>
      <c r="F28" s="153"/>
      <c r="G28" s="153"/>
      <c r="H28" s="153"/>
      <c r="I28" s="190"/>
      <c r="J28" s="191"/>
      <c r="K28" s="249"/>
    </row>
    <row r="29" spans="1:11" s="2" customFormat="1" ht="27" customHeight="1">
      <c r="A29" s="152"/>
      <c r="B29" s="175" t="s">
        <v>17</v>
      </c>
      <c r="C29" s="176"/>
      <c r="D29" s="177" t="s">
        <v>484</v>
      </c>
      <c r="E29" s="177"/>
      <c r="F29" s="259"/>
      <c r="G29" s="259"/>
      <c r="H29" s="259"/>
      <c r="I29" s="257">
        <f>'Off-Site Summary'!H18+'Site Summary'!H18+'Garage Summary'!H18+'Building Summary'!H23</f>
        <v>117617</v>
      </c>
      <c r="J29" s="191">
        <f>I29/I17</f>
        <v>13.488188073394495</v>
      </c>
      <c r="K29" s="249"/>
    </row>
    <row r="30" spans="1:11" s="9" customFormat="1" ht="32" customHeight="1">
      <c r="A30" s="154"/>
      <c r="B30" s="179" t="str">
        <f>'Building Detail'!B34</f>
        <v>02150</v>
      </c>
      <c r="C30" s="187"/>
      <c r="D30" s="181" t="str">
        <f>'Building Detail'!D34</f>
        <v>Demolition</v>
      </c>
      <c r="E30" s="181"/>
      <c r="F30" s="260" t="str">
        <f>'Building Detail'!J34</f>
        <v>Includes inside demo for the space per the plan.  Includes ceiling demo, all carpet to be removed and floor glue removed, demo of 2 bathrooms, demo all tiles in the bathroom.  Includes asbestos demo allowance for $40k.  Also includes demo of entire offices to make it an open ceiling design</v>
      </c>
      <c r="G30" s="260"/>
      <c r="H30" s="260"/>
      <c r="I30" s="188">
        <f>'Building Detail'!H34</f>
        <v>83776</v>
      </c>
      <c r="J30" s="192"/>
      <c r="K30" s="250"/>
    </row>
    <row r="31" spans="1:11" s="9" customFormat="1" ht="15" customHeight="1">
      <c r="A31" s="154"/>
      <c r="B31" s="179" t="str">
        <f>'Building Detail'!B35</f>
        <v>02175</v>
      </c>
      <c r="C31" s="187"/>
      <c r="D31" s="181" t="str">
        <f>'Building Detail'!D35</f>
        <v>Dewatering, Sidwalk Repair</v>
      </c>
      <c r="E31" s="181"/>
      <c r="F31" s="260" t="str">
        <f>'Building Detail'!J35</f>
        <v>Includes demo of part of existing side walk to create a new ADA drive way per drawings</v>
      </c>
      <c r="G31" s="260"/>
      <c r="H31" s="260"/>
      <c r="I31" s="188">
        <f>'Building Detail'!H35</f>
        <v>24970</v>
      </c>
      <c r="J31" s="192">
        <f>'Building Detail'!I40</f>
        <v>0</v>
      </c>
      <c r="K31" s="250"/>
    </row>
    <row r="32" spans="1:11" s="9" customFormat="1" ht="15" customHeight="1">
      <c r="A32" s="154"/>
      <c r="B32" s="179" t="str">
        <f>'Building Detail'!B36</f>
        <v>02180</v>
      </c>
      <c r="C32" s="187"/>
      <c r="D32" s="181" t="str">
        <f>'Building Detail'!D36</f>
        <v>Landscaping</v>
      </c>
      <c r="E32" s="181"/>
      <c r="F32" s="264"/>
      <c r="G32" s="264"/>
      <c r="H32" s="264"/>
      <c r="I32" s="188">
        <f>'Building Detail'!H36</f>
        <v>0</v>
      </c>
      <c r="J32" s="192">
        <f>'Building Detail'!I41</f>
        <v>0</v>
      </c>
      <c r="K32" s="250"/>
    </row>
    <row r="33" spans="1:11" s="9" customFormat="1" ht="21" customHeight="1">
      <c r="A33" s="154"/>
      <c r="B33" s="179" t="str">
        <f>'Building Detail'!B37</f>
        <v>02190</v>
      </c>
      <c r="C33" s="187"/>
      <c r="D33" s="181" t="str">
        <f>'Building Detail'!D37</f>
        <v>Waterproofing</v>
      </c>
      <c r="E33" s="181"/>
      <c r="F33" s="260" t="str">
        <f>'Building Detail'!J37</f>
        <v>May be needed for shower room</v>
      </c>
      <c r="G33" s="260"/>
      <c r="H33" s="260"/>
      <c r="I33" s="188">
        <f>'Building Detail'!H37</f>
        <v>8871</v>
      </c>
      <c r="J33" s="192"/>
      <c r="K33" s="250"/>
    </row>
    <row r="34" spans="1:11" s="9" customFormat="1" ht="11" customHeight="1">
      <c r="A34" s="154"/>
      <c r="B34" s="179"/>
      <c r="C34" s="187"/>
      <c r="D34" s="181"/>
      <c r="E34" s="181"/>
      <c r="F34" s="221"/>
      <c r="G34" s="221"/>
      <c r="H34" s="221"/>
      <c r="I34" s="190"/>
      <c r="J34" s="192"/>
      <c r="K34" s="250"/>
    </row>
    <row r="35" spans="1:11" s="2" customFormat="1" ht="32" customHeight="1">
      <c r="A35" s="152"/>
      <c r="B35" s="175" t="s">
        <v>18</v>
      </c>
      <c r="C35" s="176"/>
      <c r="D35" s="177" t="s">
        <v>25</v>
      </c>
      <c r="E35" s="177"/>
      <c r="F35" s="259"/>
      <c r="G35" s="259"/>
      <c r="H35" s="259"/>
      <c r="I35" s="257">
        <f>'Off-Site Summary'!H19+'Site Summary'!H19+'Garage Summary'!H19+'Building Summary'!H24</f>
        <v>73149</v>
      </c>
      <c r="J35" s="191">
        <f>I35/I17</f>
        <v>8.3886467889908261</v>
      </c>
      <c r="K35" s="249"/>
    </row>
    <row r="36" spans="1:11" s="9" customFormat="1" ht="38" customHeight="1">
      <c r="A36" s="154"/>
      <c r="B36" s="179" t="str">
        <f>'Building Detail'!B43</f>
        <v>03100</v>
      </c>
      <c r="C36" s="187"/>
      <c r="D36" s="181" t="str">
        <f>'Building Detail'!D43</f>
        <v>Asphalt/Striping/Seting</v>
      </c>
      <c r="E36" s="181"/>
      <c r="F36" s="259"/>
      <c r="G36" s="259"/>
      <c r="H36" s="259"/>
      <c r="I36" s="188">
        <f>'Building Detail'!H43</f>
        <v>11710</v>
      </c>
      <c r="J36" s="192">
        <f>'Building Detail'!I44</f>
        <v>0</v>
      </c>
      <c r="K36" s="250"/>
    </row>
    <row r="37" spans="1:11" s="9" customFormat="1" ht="15" customHeight="1">
      <c r="A37" s="154"/>
      <c r="B37" s="179" t="str">
        <f>'Building Detail'!B44</f>
        <v>03200</v>
      </c>
      <c r="C37" s="187"/>
      <c r="D37" s="181" t="str">
        <f>'Building Detail'!D44</f>
        <v>Concrete Cutting/Pouring/Coring</v>
      </c>
      <c r="E37" s="181"/>
      <c r="F37" s="259" t="str">
        <f>'Building Detail'!J44</f>
        <v>Includes new coring for shower room and sauna</v>
      </c>
      <c r="G37" s="259"/>
      <c r="H37" s="259"/>
      <c r="I37" s="188">
        <f>'Building Detail'!H44</f>
        <v>18779</v>
      </c>
      <c r="J37" s="192">
        <f>'Building Detail'!I45</f>
        <v>0</v>
      </c>
      <c r="K37" s="250"/>
    </row>
    <row r="38" spans="1:11" s="9" customFormat="1" ht="35" customHeight="1">
      <c r="A38" s="154"/>
      <c r="B38" s="179" t="str">
        <f>'Building Detail'!B45</f>
        <v>03400</v>
      </c>
      <c r="C38" s="187"/>
      <c r="D38" s="181" t="str">
        <f>'Building Detail'!D45</f>
        <v>Repair/Rebuild Side Walks</v>
      </c>
      <c r="E38" s="181"/>
      <c r="F38" s="259" t="str">
        <f>'Building Detail'!J45</f>
        <v>Includes new sidewalk, w/o handrail to be build for ADA access and create a new enterance to the new door/space</v>
      </c>
      <c r="G38" s="259"/>
      <c r="H38" s="259"/>
      <c r="I38" s="188">
        <f>'Building Detail'!H45</f>
        <v>42660</v>
      </c>
      <c r="J38" s="192">
        <f>'Building Detail'!I46</f>
        <v>0</v>
      </c>
      <c r="K38" s="250"/>
    </row>
    <row r="39" spans="1:11" s="9" customFormat="1" ht="21" customHeight="1">
      <c r="A39" s="154"/>
      <c r="B39" s="179" t="str">
        <f>'Building Detail'!B46</f>
        <v>03500</v>
      </c>
      <c r="C39" s="187"/>
      <c r="D39" s="181" t="str">
        <f>'Building Detail'!D46</f>
        <v xml:space="preserve">Stucco </v>
      </c>
      <c r="E39" s="181"/>
      <c r="F39" s="221"/>
      <c r="G39" s="221"/>
      <c r="H39" s="221"/>
      <c r="I39" s="188">
        <f>'Building Detail'!H46</f>
        <v>0</v>
      </c>
      <c r="J39" s="192">
        <f>'Building Detail'!I47</f>
        <v>0</v>
      </c>
      <c r="K39" s="250"/>
    </row>
    <row r="40" spans="1:11" s="9" customFormat="1" ht="6.75" customHeight="1">
      <c r="A40" s="154"/>
      <c r="B40" s="179"/>
      <c r="C40" s="187"/>
      <c r="D40" s="181"/>
      <c r="E40" s="181"/>
      <c r="F40" s="221"/>
      <c r="G40" s="221"/>
      <c r="H40" s="221"/>
      <c r="I40" s="188"/>
      <c r="J40" s="192"/>
      <c r="K40" s="250"/>
    </row>
    <row r="41" spans="1:11" s="2" customFormat="1" ht="44" customHeight="1">
      <c r="A41" s="152"/>
      <c r="B41" s="175" t="str">
        <f>'Building Detail'!B50</f>
        <v>05000</v>
      </c>
      <c r="C41" s="176"/>
      <c r="D41" s="177" t="str">
        <f>'Building Detail'!D50</f>
        <v>STEEL/MASONRY/STRUCTURAL</v>
      </c>
      <c r="E41" s="177"/>
      <c r="F41" s="259" t="str">
        <f>'Building Detail'!J56</f>
        <v>Includes structural support for 3 new HVAC units on the roof</v>
      </c>
      <c r="G41" s="259"/>
      <c r="H41" s="259"/>
      <c r="I41" s="257">
        <f>'Building Detail'!H58</f>
        <v>60180</v>
      </c>
      <c r="J41" s="191">
        <f>'Building Detail'!I58</f>
        <v>6.9013761467889907</v>
      </c>
      <c r="K41" s="249"/>
    </row>
    <row r="42" spans="1:11" s="9" customFormat="1" ht="15" customHeight="1">
      <c r="A42" s="154"/>
      <c r="B42" s="179" t="str">
        <f>'Building Detail'!B51</f>
        <v>05200</v>
      </c>
      <c r="C42" s="187"/>
      <c r="D42" s="181" t="str">
        <f>'Building Detail'!D51</f>
        <v>Miscellaneous/Decorative metals</v>
      </c>
      <c r="E42" s="181"/>
      <c r="F42" s="260" t="str">
        <f>'Building Detail'!J51</f>
        <v>NIC</v>
      </c>
      <c r="G42" s="260"/>
      <c r="H42" s="260"/>
      <c r="I42" s="188">
        <f>'Building Detail'!H51</f>
        <v>0</v>
      </c>
      <c r="J42" s="192"/>
      <c r="K42" s="250"/>
    </row>
    <row r="43" spans="1:11" s="9" customFormat="1" ht="15" customHeight="1">
      <c r="A43" s="154"/>
      <c r="B43" s="179" t="str">
        <f>'Building Detail'!B52</f>
        <v>05300</v>
      </c>
      <c r="C43" s="187"/>
      <c r="D43" s="181" t="str">
        <f>'Building Detail'!D52</f>
        <v>Steel stairs</v>
      </c>
      <c r="E43" s="181"/>
      <c r="F43" s="260" t="str">
        <f>'Building Detail'!J52</f>
        <v>Includes repairing of current stairs to a new floating stairs</v>
      </c>
      <c r="G43" s="260"/>
      <c r="H43" s="260"/>
      <c r="I43" s="188">
        <f>'Building Detail'!H52</f>
        <v>19334</v>
      </c>
      <c r="J43" s="192"/>
      <c r="K43" s="250"/>
    </row>
    <row r="44" spans="1:11" s="9" customFormat="1" ht="15.75" customHeight="1">
      <c r="A44" s="154"/>
      <c r="B44" s="179" t="str">
        <f>'Building Detail'!B53</f>
        <v>05400</v>
      </c>
      <c r="C44" s="187"/>
      <c r="D44" s="181" t="str">
        <f>'Building Detail'!D53</f>
        <v>Cultured Stone - Façade &amp; Planter Caps</v>
      </c>
      <c r="E44" s="181"/>
      <c r="F44" s="260" t="str">
        <f>'Building Detail'!J53</f>
        <v>Includes new stones in the lobby area</v>
      </c>
      <c r="G44" s="260"/>
      <c r="H44" s="260"/>
      <c r="I44" s="188">
        <f>'Building Detail'!H53</f>
        <v>29445</v>
      </c>
      <c r="J44" s="192"/>
      <c r="K44" s="250"/>
    </row>
    <row r="45" spans="1:11" s="9" customFormat="1" ht="15.75" customHeight="1">
      <c r="A45" s="154"/>
      <c r="B45" s="179" t="str">
        <f>'Building Detail'!B54</f>
        <v>05500</v>
      </c>
      <c r="C45" s="187"/>
      <c r="D45" s="181" t="str">
        <f>'Building Detail'!D54</f>
        <v>Metal Awning</v>
      </c>
      <c r="E45" s="181"/>
      <c r="F45" s="260" t="str">
        <f>'Building Detail'!J54</f>
        <v>N/A</v>
      </c>
      <c r="G45" s="260"/>
      <c r="H45" s="260"/>
      <c r="I45" s="188">
        <f>'Building Detail'!H54</f>
        <v>0</v>
      </c>
      <c r="J45" s="192"/>
      <c r="K45" s="250"/>
    </row>
    <row r="46" spans="1:11" s="9" customFormat="1" ht="14" customHeight="1">
      <c r="A46" s="154"/>
      <c r="B46" s="179" t="str">
        <f>'Building Detail'!B55</f>
        <v>05600</v>
      </c>
      <c r="C46" s="187"/>
      <c r="D46" s="181" t="str">
        <f>'Building Detail'!D55</f>
        <v>Repair Concrete floor</v>
      </c>
      <c r="E46" s="181"/>
      <c r="F46" s="260" t="str">
        <f>'Building Detail'!J55</f>
        <v>Includes minor crack/repiar on the 2nd floor after remoing old carpet</v>
      </c>
      <c r="G46" s="260"/>
      <c r="H46" s="260"/>
      <c r="I46" s="188">
        <f>'Building Detail'!H55</f>
        <v>3271</v>
      </c>
      <c r="J46" s="192"/>
      <c r="K46" s="250"/>
    </row>
    <row r="47" spans="1:11" s="9" customFormat="1" ht="14" customHeight="1">
      <c r="A47" s="154"/>
      <c r="B47" s="179" t="str">
        <f>'Building Detail'!B56</f>
        <v>05700</v>
      </c>
      <c r="C47" s="187"/>
      <c r="D47" s="181" t="str">
        <f>'Building Detail'!D56</f>
        <v>Sturctural Support</v>
      </c>
      <c r="E47" s="181"/>
      <c r="F47" s="260" t="str">
        <f>'Building Detail'!J56</f>
        <v>Includes structural support for 3 new HVAC units on the roof</v>
      </c>
      <c r="G47" s="260"/>
      <c r="H47" s="260"/>
      <c r="I47" s="188">
        <f>'Building Detail'!H56</f>
        <v>8130</v>
      </c>
      <c r="J47" s="192"/>
      <c r="K47" s="250"/>
    </row>
    <row r="48" spans="1:11" s="9" customFormat="1" ht="14" customHeight="1">
      <c r="A48" s="154"/>
      <c r="B48" s="179"/>
      <c r="C48" s="187"/>
      <c r="D48" s="181"/>
      <c r="E48" s="181"/>
      <c r="F48" s="221"/>
      <c r="G48" s="221"/>
      <c r="H48" s="221"/>
      <c r="I48" s="188"/>
      <c r="J48" s="192"/>
      <c r="K48" s="250"/>
    </row>
    <row r="49" spans="1:11" s="2" customFormat="1" ht="21" customHeight="1">
      <c r="A49" s="152"/>
      <c r="B49" s="175" t="str">
        <f>'Building Detail'!B60</f>
        <v>55000</v>
      </c>
      <c r="C49" s="176"/>
      <c r="D49" s="177" t="str">
        <f>'Building Detail'!D60</f>
        <v>Carpentry</v>
      </c>
      <c r="E49" s="177"/>
      <c r="F49" s="263"/>
      <c r="G49" s="263"/>
      <c r="H49" s="263"/>
      <c r="I49" s="257">
        <f>'Building Detail'!H66</f>
        <v>10710</v>
      </c>
      <c r="J49" s="191">
        <f>I49/I17</f>
        <v>1.2282110091743119</v>
      </c>
      <c r="K49" s="249"/>
    </row>
    <row r="50" spans="1:11" s="9" customFormat="1" ht="30" customHeight="1">
      <c r="A50" s="154"/>
      <c r="B50" s="179" t="str">
        <f>'Building Detail'!B61</f>
        <v>05510</v>
      </c>
      <c r="C50" s="187"/>
      <c r="D50" s="181" t="str">
        <f>'Building Detail'!D69</f>
        <v>Rough Framing</v>
      </c>
      <c r="E50" s="181"/>
      <c r="F50" s="260" t="str">
        <f>'Building Detail'!J61</f>
        <v>Rough carpentry needed to repair minor ceiling grids.  Repair only.  Repair in 6 areas included</v>
      </c>
      <c r="G50" s="260"/>
      <c r="H50" s="260"/>
      <c r="I50" s="188">
        <f>'Building Detail'!H61</f>
        <v>10710</v>
      </c>
      <c r="J50" s="192"/>
      <c r="K50" s="250"/>
    </row>
    <row r="51" spans="1:11" s="9" customFormat="1" ht="30" customHeight="1">
      <c r="A51" s="154"/>
      <c r="B51" s="179" t="str">
        <f>'Building Detail'!B62</f>
        <v>05510</v>
      </c>
      <c r="C51" s="187"/>
      <c r="D51" s="181" t="str">
        <f>'Building Detail'!D70</f>
        <v>Finish Carpentry</v>
      </c>
      <c r="E51" s="181"/>
      <c r="F51" s="260" t="str">
        <f>'Building Detail'!J62</f>
        <v>.</v>
      </c>
      <c r="G51" s="260"/>
      <c r="H51" s="260"/>
      <c r="I51" s="188">
        <f>'Building Detail'!H62</f>
        <v>0</v>
      </c>
      <c r="J51" s="192"/>
      <c r="K51" s="250"/>
    </row>
    <row r="52" spans="1:11" s="9" customFormat="1" ht="10" customHeight="1">
      <c r="A52" s="154"/>
      <c r="B52" s="179"/>
      <c r="C52" s="187"/>
      <c r="D52" s="181"/>
      <c r="E52" s="181"/>
      <c r="F52" s="185"/>
      <c r="G52" s="185"/>
      <c r="H52" s="185"/>
      <c r="I52" s="188"/>
      <c r="J52" s="192"/>
      <c r="K52" s="250"/>
    </row>
    <row r="53" spans="1:11" s="2" customFormat="1" ht="29" customHeight="1">
      <c r="A53" s="152"/>
      <c r="B53" s="175" t="s">
        <v>21</v>
      </c>
      <c r="C53" s="176"/>
      <c r="D53" s="177" t="s">
        <v>28</v>
      </c>
      <c r="E53" s="177"/>
      <c r="F53" s="259"/>
      <c r="G53" s="259"/>
      <c r="H53" s="259"/>
      <c r="I53" s="257">
        <f>'Off-Site Summary'!H22+'Site Summary'!H22+'Garage Summary'!H22+'Building Summary'!H26</f>
        <v>41085</v>
      </c>
      <c r="J53" s="191">
        <f>I53/I17</f>
        <v>4.7115825688073398</v>
      </c>
      <c r="K53" s="249"/>
    </row>
    <row r="54" spans="1:11" s="9" customFormat="1" ht="28" customHeight="1">
      <c r="A54" s="154"/>
      <c r="B54" s="179" t="str">
        <f>'Building Detail'!B69</f>
        <v>06100</v>
      </c>
      <c r="C54" s="187"/>
      <c r="D54" s="181" t="str">
        <f>'Building Detail'!D69</f>
        <v>Rough Framing</v>
      </c>
      <c r="E54" s="181"/>
      <c r="F54" s="260" t="str">
        <f>'Building Detail'!J69</f>
        <v>Includes rough framing to support cabinets and other items</v>
      </c>
      <c r="G54" s="260"/>
      <c r="H54" s="260"/>
      <c r="I54" s="188">
        <f>'Building Detail'!H69</f>
        <v>28790</v>
      </c>
      <c r="J54" s="192"/>
      <c r="K54" s="250"/>
    </row>
    <row r="55" spans="1:11" s="9" customFormat="1" ht="35" customHeight="1">
      <c r="A55" s="154"/>
      <c r="B55" s="179" t="str">
        <f>'Building Detail'!B70</f>
        <v>06120</v>
      </c>
      <c r="C55" s="187"/>
      <c r="D55" s="181" t="str">
        <f>'Building Detail'!D70</f>
        <v>Finish Carpentry</v>
      </c>
      <c r="E55" s="181"/>
      <c r="F55" s="260" t="str">
        <f>'Building Detail'!J70</f>
        <v>Includes creating open ceiling Lounge area, backing for TV, and special rough carpentry for the lobby area</v>
      </c>
      <c r="G55" s="260"/>
      <c r="H55" s="260"/>
      <c r="I55" s="188">
        <f>'Building Detail'!H70</f>
        <v>7908</v>
      </c>
      <c r="J55" s="192"/>
      <c r="K55" s="250"/>
    </row>
    <row r="56" spans="1:11" s="9" customFormat="1" ht="38" customHeight="1">
      <c r="A56" s="154"/>
      <c r="B56" s="179" t="str">
        <f>'Building Detail'!B71</f>
        <v>06200</v>
      </c>
      <c r="C56" s="187"/>
      <c r="D56" s="181" t="str">
        <f>'Building Detail'!D71</f>
        <v xml:space="preserve">Millworkand Casework </v>
      </c>
      <c r="E56" s="181"/>
      <c r="F56" s="259" t="str">
        <f>'Building Detail'!J71</f>
        <v>Includes all material, countertop, cabinets, benches woodwork and installation for the  screen, railing and any other millwork</v>
      </c>
      <c r="G56" s="259"/>
      <c r="H56" s="259"/>
      <c r="I56" s="188">
        <f>'Building Detail'!H71</f>
        <v>0</v>
      </c>
      <c r="J56" s="192"/>
      <c r="K56" s="250"/>
    </row>
    <row r="57" spans="1:11" s="9" customFormat="1" ht="18" customHeight="1">
      <c r="A57" s="154"/>
      <c r="B57" s="179" t="str">
        <f>'Building Detail'!B72</f>
        <v>06500</v>
      </c>
      <c r="C57" s="187"/>
      <c r="D57" s="181" t="str">
        <f>'Building Detail'!D72</f>
        <v>Millwork Extras - Handles, Metal, Cushion</v>
      </c>
      <c r="E57" s="181"/>
      <c r="F57" s="259"/>
      <c r="G57" s="259"/>
      <c r="H57" s="259"/>
      <c r="I57" s="188">
        <f>'Building Detail'!H72</f>
        <v>0</v>
      </c>
      <c r="J57" s="192"/>
      <c r="K57" s="250"/>
    </row>
    <row r="58" spans="1:11" s="9" customFormat="1" ht="18" customHeight="1">
      <c r="A58" s="154"/>
      <c r="B58" s="179" t="str">
        <f>'Building Detail'!B73</f>
        <v>06700</v>
      </c>
      <c r="C58" s="187"/>
      <c r="D58" s="181" t="str">
        <f>'Building Detail'!D73</f>
        <v>Countertops</v>
      </c>
      <c r="E58" s="181"/>
      <c r="F58" s="259" t="str">
        <f>'Building Detail'!J73</f>
        <v>Countertop for the new millwork and cabinets</v>
      </c>
      <c r="G58" s="259"/>
      <c r="H58" s="259"/>
      <c r="I58" s="188">
        <f>'Building Detail'!H73</f>
        <v>0</v>
      </c>
      <c r="J58" s="192"/>
      <c r="K58" s="250"/>
    </row>
    <row r="59" spans="1:11" s="9" customFormat="1" ht="18" customHeight="1">
      <c r="A59" s="154"/>
      <c r="B59" s="179" t="str">
        <f>'Building Detail'!B74</f>
        <v>06800</v>
      </c>
      <c r="C59" s="187"/>
      <c r="D59" s="181" t="str">
        <f>'Building Detail'!D74</f>
        <v>Roofing</v>
      </c>
      <c r="E59" s="181"/>
      <c r="F59" s="259" t="str">
        <f>'Building Detail'!J74</f>
        <v>NIC</v>
      </c>
      <c r="G59" s="259"/>
      <c r="H59" s="259"/>
      <c r="I59" s="188">
        <f>'Building Detail'!H74</f>
        <v>0</v>
      </c>
      <c r="J59" s="192"/>
      <c r="K59" s="250"/>
    </row>
    <row r="60" spans="1:11" s="9" customFormat="1" ht="18" customHeight="1">
      <c r="A60" s="154"/>
      <c r="B60" s="179" t="str">
        <f>'Building Detail'!B75</f>
        <v>06900</v>
      </c>
      <c r="C60" s="187"/>
      <c r="D60" s="181" t="str">
        <f>'Building Detail'!D75</f>
        <v>Steel Countertops</v>
      </c>
      <c r="E60" s="181"/>
      <c r="F60" s="264"/>
      <c r="G60" s="264"/>
      <c r="H60" s="264"/>
      <c r="I60" s="188">
        <f>'Building Detail'!H75</f>
        <v>0</v>
      </c>
      <c r="J60" s="192"/>
      <c r="K60" s="250"/>
    </row>
    <row r="61" spans="1:11" s="9" customFormat="1" ht="18" customHeight="1">
      <c r="A61" s="154"/>
      <c r="B61" s="179" t="str">
        <f>'Building Detail'!B76</f>
        <v>06950</v>
      </c>
      <c r="C61" s="187"/>
      <c r="D61" s="181" t="str">
        <f>'Building Detail'!D76</f>
        <v>Misc. Labor</v>
      </c>
      <c r="E61" s="181"/>
      <c r="F61" s="260" t="str">
        <f>'Building Detail'!J76</f>
        <v>Includes misc labor for the duration of the job</v>
      </c>
      <c r="G61" s="260"/>
      <c r="H61" s="260"/>
      <c r="I61" s="188">
        <f>'Building Detail'!H76</f>
        <v>4387</v>
      </c>
      <c r="J61" s="192"/>
      <c r="K61" s="250"/>
    </row>
    <row r="62" spans="1:11" ht="18" customHeight="1">
      <c r="A62" s="71"/>
      <c r="B62" s="179"/>
      <c r="C62" s="180"/>
      <c r="D62" s="181"/>
      <c r="E62" s="181"/>
      <c r="F62" s="111"/>
      <c r="G62" s="111"/>
      <c r="H62" s="111"/>
      <c r="I62" s="188"/>
      <c r="J62" s="193"/>
      <c r="K62" s="251"/>
    </row>
    <row r="63" spans="1:11" customFormat="1" ht="21" customHeight="1">
      <c r="A63" s="62"/>
      <c r="B63" s="182" t="s">
        <v>22</v>
      </c>
      <c r="C63" s="176"/>
      <c r="D63" s="183" t="s">
        <v>64</v>
      </c>
      <c r="E63" s="183"/>
      <c r="F63" s="273"/>
      <c r="G63" s="259"/>
      <c r="H63" s="259"/>
      <c r="I63" s="257">
        <f>'Building Detail'!H89</f>
        <v>15721</v>
      </c>
      <c r="J63" s="194">
        <f>'Building Detail'!I89</f>
        <v>1.8028669724770643</v>
      </c>
      <c r="K63" s="252"/>
    </row>
    <row r="64" spans="1:11" s="9" customFormat="1" ht="27" customHeight="1">
      <c r="A64" s="154"/>
      <c r="B64" s="179" t="str">
        <f>'Building Detail'!B83</f>
        <v>07100</v>
      </c>
      <c r="C64" s="187"/>
      <c r="D64" s="181" t="str">
        <f>'Building Detail'!D83</f>
        <v>Building/Inside Wall Insulation</v>
      </c>
      <c r="E64" s="181"/>
      <c r="F64" s="260" t="str">
        <f>'Building Detail'!J83</f>
        <v>May be needed on the 2nd floor area</v>
      </c>
      <c r="G64" s="260"/>
      <c r="H64" s="260"/>
      <c r="I64" s="188">
        <f>'Building Detail'!H83</f>
        <v>12270</v>
      </c>
      <c r="J64" s="195"/>
      <c r="K64" s="253"/>
    </row>
    <row r="65" spans="1:11" s="9" customFormat="1" ht="16">
      <c r="A65" s="154"/>
      <c r="B65" s="179" t="str">
        <f>'Building Detail'!B84</f>
        <v>07200</v>
      </c>
      <c r="C65" s="187"/>
      <c r="D65" s="181" t="str">
        <f>'Building Detail'!D84</f>
        <v>Exterior Wall Insulation</v>
      </c>
      <c r="E65" s="181"/>
      <c r="F65" s="266"/>
      <c r="G65" s="264"/>
      <c r="H65" s="264"/>
      <c r="I65" s="188">
        <f>'Building Detail'!H84</f>
        <v>0</v>
      </c>
      <c r="J65" s="195"/>
      <c r="K65" s="253"/>
    </row>
    <row r="66" spans="1:11" s="9" customFormat="1" ht="16">
      <c r="A66" s="154"/>
      <c r="B66" s="179">
        <f>'Building Detail'!B85</f>
        <v>72500</v>
      </c>
      <c r="C66" s="187"/>
      <c r="D66" s="181" t="str">
        <f>'Building Detail'!D85</f>
        <v>Ceiling Insulations</v>
      </c>
      <c r="E66" s="181"/>
      <c r="F66" s="266"/>
      <c r="G66" s="264"/>
      <c r="H66" s="264"/>
      <c r="I66" s="188">
        <f>'Building Detail'!H85</f>
        <v>0</v>
      </c>
      <c r="J66" s="195"/>
      <c r="K66" s="253"/>
    </row>
    <row r="67" spans="1:11" s="9" customFormat="1" ht="16">
      <c r="A67" s="154"/>
      <c r="B67" s="179" t="str">
        <f>'Building Detail'!B86</f>
        <v>07300</v>
      </c>
      <c r="C67" s="187"/>
      <c r="D67" s="181" t="str">
        <f>'Building Detail'!D86</f>
        <v>Fire Caulking</v>
      </c>
      <c r="E67" s="181"/>
      <c r="F67" s="260" t="str">
        <f>'Building Detail'!J86</f>
        <v>Fire caulking 1st floor exit corridor</v>
      </c>
      <c r="G67" s="260"/>
      <c r="H67" s="260"/>
      <c r="I67" s="188">
        <f>'Building Detail'!H86</f>
        <v>3451</v>
      </c>
      <c r="J67" s="195"/>
      <c r="K67" s="253"/>
    </row>
    <row r="68" spans="1:11" customFormat="1" ht="16">
      <c r="A68" s="62"/>
      <c r="B68" s="182"/>
      <c r="C68" s="176"/>
      <c r="D68" s="183"/>
      <c r="E68" s="183"/>
      <c r="F68" s="215"/>
      <c r="G68" s="111"/>
      <c r="H68" s="222"/>
      <c r="I68" s="188"/>
      <c r="J68" s="194"/>
      <c r="K68" s="252"/>
    </row>
    <row r="69" spans="1:11" s="2" customFormat="1" ht="24" customHeight="1">
      <c r="A69" s="152"/>
      <c r="B69" s="182" t="s">
        <v>23</v>
      </c>
      <c r="C69" s="176"/>
      <c r="D69" s="183" t="s">
        <v>80</v>
      </c>
      <c r="E69" s="183"/>
      <c r="F69" s="265"/>
      <c r="G69" s="260"/>
      <c r="H69" s="260"/>
      <c r="I69" s="257">
        <f>'Building Detail'!H98</f>
        <v>89423.7</v>
      </c>
      <c r="J69" s="196"/>
      <c r="K69" s="254"/>
    </row>
    <row r="70" spans="1:11" s="9" customFormat="1" ht="30" customHeight="1">
      <c r="A70" s="154"/>
      <c r="B70" s="179" t="str">
        <f>'Building Detail'!B93</f>
        <v>08100</v>
      </c>
      <c r="C70" s="245"/>
      <c r="D70" s="181" t="str">
        <f>'Building Detail'!D93</f>
        <v>Door/Frame/Hardware</v>
      </c>
      <c r="E70" s="181"/>
      <c r="F70" s="265" t="str">
        <f>'Building Detail'!J93</f>
        <v>2 new exterior doors per drawings, 8 new 3o7o doors per architect with framing (non fire rated) standard commercial doors</v>
      </c>
      <c r="G70" s="260"/>
      <c r="H70" s="260"/>
      <c r="I70" s="188">
        <f>'Building Detail'!H93</f>
        <v>24054</v>
      </c>
      <c r="J70" s="195"/>
      <c r="K70" s="253"/>
    </row>
    <row r="71" spans="1:11" s="9" customFormat="1" ht="16">
      <c r="A71" s="154"/>
      <c r="B71" s="179" t="str">
        <f>'Building Detail'!B94</f>
        <v>08150</v>
      </c>
      <c r="C71" s="245"/>
      <c r="D71" s="181" t="str">
        <f>'Building Detail'!D94</f>
        <v>Storefront Window and Door/Glass</v>
      </c>
      <c r="E71" s="181"/>
      <c r="F71" s="265" t="str">
        <f>'Building Detail'!J94</f>
        <v>Includes new storefront glass for around stair case and 4 new offices for the lawyer areas.  Includes full height glass offices w/o sheetrock walls.  Also includes a new Glass door to replace enterance door from the parking lot area to the office</v>
      </c>
      <c r="G71" s="260"/>
      <c r="H71" s="260"/>
      <c r="I71" s="188">
        <f>'Building Detail'!H94</f>
        <v>65369.7</v>
      </c>
      <c r="J71" s="195"/>
      <c r="K71" s="253"/>
    </row>
    <row r="72" spans="1:11" s="9" customFormat="1" ht="16">
      <c r="A72" s="154"/>
      <c r="B72" s="179" t="str">
        <f>'Building Detail'!B95</f>
        <v>08200</v>
      </c>
      <c r="C72" s="245"/>
      <c r="D72" s="181" t="str">
        <f>'Building Detail'!D95</f>
        <v>Vinyl Film/Rollup Doors</v>
      </c>
      <c r="E72" s="181"/>
      <c r="F72" s="265"/>
      <c r="G72" s="260"/>
      <c r="H72" s="260"/>
      <c r="I72" s="188">
        <f>'Building Detail'!H95</f>
        <v>0</v>
      </c>
      <c r="J72" s="195"/>
      <c r="K72" s="253"/>
    </row>
    <row r="73" spans="1:11" customFormat="1" ht="16">
      <c r="A73" s="62"/>
      <c r="B73" s="182"/>
      <c r="C73" s="176"/>
      <c r="D73" s="183"/>
      <c r="E73" s="183"/>
      <c r="F73" s="215"/>
      <c r="G73" s="111"/>
      <c r="H73" s="222"/>
      <c r="I73" s="188"/>
      <c r="J73" s="194"/>
      <c r="K73" s="252"/>
    </row>
    <row r="74" spans="1:11" s="2" customFormat="1" ht="47" customHeight="1">
      <c r="A74" s="152"/>
      <c r="B74" s="182" t="s">
        <v>24</v>
      </c>
      <c r="C74" s="176"/>
      <c r="D74" s="183" t="s">
        <v>524</v>
      </c>
      <c r="E74" s="183"/>
      <c r="F74" s="220"/>
      <c r="G74" s="185"/>
      <c r="H74" s="185"/>
      <c r="I74" s="257">
        <f>'Building Detail'!H115</f>
        <v>185839.9</v>
      </c>
      <c r="J74" s="191">
        <f>I74/I17</f>
        <v>21.31191513761468</v>
      </c>
      <c r="K74" s="249"/>
    </row>
    <row r="75" spans="1:11" s="9" customFormat="1" ht="30" customHeight="1">
      <c r="A75" s="154"/>
      <c r="B75" s="179" t="str">
        <f>'Building Detail'!B102</f>
        <v>09200</v>
      </c>
      <c r="C75" s="187"/>
      <c r="D75" s="185" t="str">
        <f>'Building Detail'!D102</f>
        <v>Interior Metal Stud Framing + Gypboard (Full Height)</v>
      </c>
      <c r="E75" s="185"/>
      <c r="F75" s="260" t="str">
        <f>'Building Detail'!J102</f>
        <v>New walls and framing per drawings.  Also includes new soffit work around the 4 new offices and lobby area.  Includes new header for all glass storefront offices</v>
      </c>
      <c r="G75" s="260"/>
      <c r="H75" s="260"/>
      <c r="I75" s="188">
        <f>'Building Detail'!H102</f>
        <v>37888</v>
      </c>
      <c r="J75" s="192"/>
      <c r="K75" s="250"/>
    </row>
    <row r="76" spans="1:11" s="9" customFormat="1" ht="22" customHeight="1">
      <c r="A76" s="154"/>
      <c r="B76" s="179" t="str">
        <f>'Building Detail'!B103</f>
        <v>09200</v>
      </c>
      <c r="C76" s="187"/>
      <c r="D76" s="185" t="str">
        <f>'Building Detail'!D103</f>
        <v>Interior Metal Stud Framing + Gypboard</v>
      </c>
      <c r="E76" s="185"/>
      <c r="F76" s="260"/>
      <c r="G76" s="260"/>
      <c r="H76" s="260"/>
      <c r="I76" s="188">
        <f>'Building Detail'!H103</f>
        <v>0</v>
      </c>
      <c r="J76" s="192"/>
      <c r="K76" s="250"/>
    </row>
    <row r="77" spans="1:11" s="9" customFormat="1" ht="17">
      <c r="A77" s="154"/>
      <c r="B77" s="179" t="str">
        <f>'Building Detail'!B104</f>
        <v>09250</v>
      </c>
      <c r="C77" s="187"/>
      <c r="D77" s="185" t="str">
        <f>'Building Detail'!D104</f>
        <v>Sound walls - staggered studs</v>
      </c>
      <c r="E77" s="185"/>
      <c r="F77" s="260"/>
      <c r="G77" s="260"/>
      <c r="H77" s="260"/>
      <c r="I77" s="188">
        <f>'Building Detail'!H104</f>
        <v>0</v>
      </c>
      <c r="J77" s="192"/>
      <c r="K77" s="250"/>
    </row>
    <row r="78" spans="1:11" s="9" customFormat="1" ht="38" customHeight="1">
      <c r="A78" s="154"/>
      <c r="B78" s="179" t="str">
        <f>'Building Detail'!B105</f>
        <v>09550</v>
      </c>
      <c r="C78" s="187"/>
      <c r="D78" s="185" t="str">
        <f>'Building Detail'!D105</f>
        <v>Acoustical/Hardlid Ceilings-w/seismic+bracing</v>
      </c>
      <c r="E78" s="185"/>
      <c r="F78" s="260" t="str">
        <f>'Building Detail'!J105</f>
        <v>Includes replacing ceiling tiles only for the entire 2 floors, includes material</v>
      </c>
      <c r="G78" s="260"/>
      <c r="H78" s="260"/>
      <c r="I78" s="188">
        <f>'Building Detail'!H105</f>
        <v>31851.9</v>
      </c>
      <c r="J78" s="192"/>
      <c r="K78" s="250"/>
    </row>
    <row r="79" spans="1:11" s="9" customFormat="1" ht="52" customHeight="1">
      <c r="A79" s="154"/>
      <c r="B79" s="179" t="str">
        <f>'Building Detail'!B106</f>
        <v>09310</v>
      </c>
      <c r="C79" s="187"/>
      <c r="D79" s="185" t="str">
        <f>'Building Detail'!D106</f>
        <v>Ceramic tile floors/Walls/Front counter</v>
      </c>
      <c r="E79" s="185"/>
      <c r="F79" s="260" t="str">
        <f>'Building Detail'!J106</f>
        <v>Includes new tile standard commercial install in the store and wood base around the front office area only.  Includes new wall and floor tiles for the bathrooms as well.  Standard commercial includes 4 ft high</v>
      </c>
      <c r="G79" s="260"/>
      <c r="H79" s="260"/>
      <c r="I79" s="188">
        <f>'Building Detail'!H106</f>
        <v>37660</v>
      </c>
      <c r="J79" s="192"/>
      <c r="K79" s="250"/>
    </row>
    <row r="80" spans="1:11" s="9" customFormat="1" ht="17">
      <c r="A80" s="154"/>
      <c r="B80" s="179" t="str">
        <f>'Building Detail'!B107</f>
        <v>09550</v>
      </c>
      <c r="C80" s="187"/>
      <c r="D80" s="185" t="str">
        <f>'Building Detail'!D107</f>
        <v>Carpet/Vinyl Flooring</v>
      </c>
      <c r="E80" s="185"/>
      <c r="F80" s="260" t="str">
        <f>'Building Detail'!J107</f>
        <v>NIC</v>
      </c>
      <c r="G80" s="260"/>
      <c r="H80" s="260"/>
      <c r="I80" s="188">
        <f>'Building Detail'!H107</f>
        <v>0</v>
      </c>
      <c r="J80" s="192"/>
      <c r="K80" s="250"/>
    </row>
    <row r="81" spans="1:11" s="9" customFormat="1" ht="17">
      <c r="A81" s="154"/>
      <c r="B81" s="179" t="str">
        <f>'Building Detail'!B108</f>
        <v>09555</v>
      </c>
      <c r="C81" s="187"/>
      <c r="D81" s="185" t="str">
        <f>'Building Detail'!D108</f>
        <v>Hardwood floor</v>
      </c>
      <c r="E81" s="185"/>
      <c r="F81" s="267" t="str">
        <f>'Building Detail'!J108</f>
        <v>New front lounge area hardwood floor and wood base standard commercial</v>
      </c>
      <c r="G81" s="260"/>
      <c r="H81" s="260"/>
      <c r="I81" s="188">
        <f>'Building Detail'!H108</f>
        <v>14640</v>
      </c>
      <c r="J81" s="192"/>
      <c r="K81" s="250"/>
    </row>
    <row r="82" spans="1:11" s="9" customFormat="1" ht="17">
      <c r="A82" s="154"/>
      <c r="B82" s="179" t="str">
        <f>'Building Detail'!B109</f>
        <v>09650</v>
      </c>
      <c r="C82" s="187"/>
      <c r="D82" s="185" t="str">
        <f>'Building Detail'!D109</f>
        <v>Resilient flooring, Epoxy &amp; Patio</v>
      </c>
      <c r="E82" s="185"/>
      <c r="F82" s="260" t="str">
        <f>'Building Detail'!J109</f>
        <v>Includes new wood floor for the entire top office areas</v>
      </c>
      <c r="G82" s="260"/>
      <c r="H82" s="260"/>
      <c r="I82" s="188">
        <f>'Building Detail'!H109</f>
        <v>23760</v>
      </c>
      <c r="J82" s="192"/>
      <c r="K82" s="250"/>
    </row>
    <row r="83" spans="1:11" s="9" customFormat="1" ht="17">
      <c r="A83" s="154"/>
      <c r="B83" s="179" t="str">
        <f>'Building Detail'!B110</f>
        <v>09900</v>
      </c>
      <c r="C83" s="187"/>
      <c r="D83" s="185" t="str">
        <f>'Building Detail'!D110</f>
        <v>Paint</v>
      </c>
      <c r="E83" s="185"/>
      <c r="F83" s="260" t="str">
        <f>'Building Detail'!J110</f>
        <v>Includes paint on new walls in the new office area, side walls, outside building</v>
      </c>
      <c r="G83" s="260"/>
      <c r="H83" s="260"/>
      <c r="I83" s="188">
        <f>'Building Detail'!H110</f>
        <v>40040</v>
      </c>
      <c r="J83" s="192"/>
      <c r="K83" s="250"/>
    </row>
    <row r="84" spans="1:11" customFormat="1" ht="16">
      <c r="A84" s="62"/>
      <c r="B84" s="184"/>
      <c r="C84" s="180"/>
      <c r="D84" s="185"/>
      <c r="E84" s="185"/>
      <c r="F84" s="215"/>
      <c r="G84" s="111"/>
      <c r="H84" s="222"/>
      <c r="I84" s="188"/>
      <c r="J84" s="193"/>
      <c r="K84" s="251"/>
    </row>
    <row r="85" spans="1:11" s="2" customFormat="1" ht="28" customHeight="1">
      <c r="A85" s="152"/>
      <c r="B85" s="175">
        <v>10000</v>
      </c>
      <c r="C85" s="176"/>
      <c r="D85" s="183" t="str">
        <f>'Building Detail'!D118</f>
        <v>SPECIALTIES (Accessories/Fire Alarm/Hood)</v>
      </c>
      <c r="E85" s="183"/>
      <c r="F85" s="259" t="str">
        <f>'Building Detail'!J124</f>
        <v>.</v>
      </c>
      <c r="G85" s="269"/>
      <c r="H85" s="269"/>
      <c r="I85" s="257">
        <f>'Building Detail'!H126</f>
        <v>18089</v>
      </c>
      <c r="J85" s="191">
        <f>'Building Detail'!I126</f>
        <v>2.0744266055045872</v>
      </c>
      <c r="K85" s="249"/>
    </row>
    <row r="86" spans="1:11" s="9" customFormat="1" ht="24" customHeight="1">
      <c r="A86" s="154"/>
      <c r="B86" s="179">
        <f>'Building Detail'!B119</f>
        <v>10100</v>
      </c>
      <c r="C86" s="187"/>
      <c r="D86" s="185" t="str">
        <f>'Building Detail'!D119</f>
        <v>Bathroom Accessories</v>
      </c>
      <c r="E86" s="185"/>
      <c r="F86" s="260" t="str">
        <f>'Building Detail'!J119</f>
        <v xml:space="preserve">Includes 2 new ADA bathrooms on both floors </v>
      </c>
      <c r="G86" s="260"/>
      <c r="H86" s="260"/>
      <c r="I86" s="188">
        <f>'Building Detail'!H119</f>
        <v>1372</v>
      </c>
      <c r="J86" s="192"/>
      <c r="K86" s="250"/>
    </row>
    <row r="87" spans="1:11" s="9" customFormat="1" ht="17">
      <c r="A87" s="154"/>
      <c r="B87" s="179">
        <f>'Building Detail'!B120</f>
        <v>10200</v>
      </c>
      <c r="C87" s="187"/>
      <c r="D87" s="185" t="str">
        <f>'Building Detail'!D120</f>
        <v>Partitions/Showerpan</v>
      </c>
      <c r="E87" s="185"/>
      <c r="F87" s="260" t="str">
        <f>'Building Detail'!J120</f>
        <v>Includes new shower pan, shower head and shower plumbing for the new shower room area</v>
      </c>
      <c r="G87" s="260"/>
      <c r="H87" s="260"/>
      <c r="I87" s="188">
        <f>'Building Detail'!H120</f>
        <v>9217</v>
      </c>
      <c r="J87" s="192"/>
      <c r="K87" s="250"/>
    </row>
    <row r="88" spans="1:11" s="9" customFormat="1" ht="17">
      <c r="A88" s="154"/>
      <c r="B88" s="179" t="str">
        <f>'Building Detail'!B121</f>
        <v>10300</v>
      </c>
      <c r="C88" s="187"/>
      <c r="D88" s="185" t="str">
        <f>'Building Detail'!D121</f>
        <v>New Hood/Exhaust/Fire Systems</v>
      </c>
      <c r="E88" s="185"/>
      <c r="F88" s="260" t="str">
        <f>'Building Detail'!J121</f>
        <v>NIC</v>
      </c>
      <c r="G88" s="260"/>
      <c r="H88" s="260"/>
      <c r="I88" s="188">
        <f>'Building Detail'!H121</f>
        <v>0</v>
      </c>
      <c r="J88" s="192"/>
      <c r="K88" s="250"/>
    </row>
    <row r="89" spans="1:11" s="9" customFormat="1" ht="17">
      <c r="A89" s="154"/>
      <c r="B89" s="179" t="str">
        <f>'Building Detail'!B122</f>
        <v>10400</v>
      </c>
      <c r="C89" s="187"/>
      <c r="D89" s="185" t="str">
        <f>'Building Detail'!D122</f>
        <v xml:space="preserve">Fountain </v>
      </c>
      <c r="E89" s="185"/>
      <c r="F89" s="260">
        <f>'Building Detail'!J122</f>
        <v>0</v>
      </c>
      <c r="G89" s="260"/>
      <c r="H89" s="260"/>
      <c r="I89" s="188">
        <f>'Building Detail'!H122</f>
        <v>0</v>
      </c>
      <c r="J89" s="192"/>
      <c r="K89" s="250"/>
    </row>
    <row r="90" spans="1:11" s="9" customFormat="1" ht="17">
      <c r="A90" s="154"/>
      <c r="B90" s="179">
        <f>'Building Detail'!B123</f>
        <v>10500</v>
      </c>
      <c r="C90" s="187"/>
      <c r="D90" s="185" t="str">
        <f>'Building Detail'!D123</f>
        <v>Fire Alarm</v>
      </c>
      <c r="E90" s="185"/>
      <c r="F90" s="260" t="str">
        <f>'Building Detail'!J123</f>
        <v>Includes fire alarm systems for both floors</v>
      </c>
      <c r="G90" s="260"/>
      <c r="H90" s="260"/>
      <c r="I90" s="188">
        <f>'Building Detail'!H123</f>
        <v>7500</v>
      </c>
      <c r="J90" s="192"/>
      <c r="K90" s="250"/>
    </row>
    <row r="91" spans="1:11" s="162" customFormat="1" ht="23" customHeight="1">
      <c r="A91" s="163"/>
      <c r="B91" s="179">
        <f>'Building Detail'!B124</f>
        <v>10600</v>
      </c>
      <c r="C91" s="181"/>
      <c r="D91" s="185" t="str">
        <f>'Building Detail'!D124</f>
        <v>FRP</v>
      </c>
      <c r="E91" s="185"/>
      <c r="F91" s="260" t="str">
        <f>'Building Detail'!J124</f>
        <v>.</v>
      </c>
      <c r="G91" s="260"/>
      <c r="H91" s="260"/>
      <c r="I91" s="188">
        <f>'Building Detail'!H124</f>
        <v>0</v>
      </c>
      <c r="J91" s="197"/>
      <c r="K91" s="255"/>
    </row>
    <row r="92" spans="1:11" customFormat="1" ht="16">
      <c r="A92" s="62"/>
      <c r="B92" s="186"/>
      <c r="C92" s="180"/>
      <c r="D92" s="185"/>
      <c r="E92" s="185"/>
      <c r="F92" s="216"/>
      <c r="G92" s="111"/>
      <c r="H92" s="222"/>
      <c r="I92" s="188"/>
      <c r="J92" s="193"/>
      <c r="K92" s="251"/>
    </row>
    <row r="93" spans="1:11" customFormat="1" ht="17">
      <c r="A93" s="62"/>
      <c r="B93" s="175">
        <v>11000</v>
      </c>
      <c r="C93" s="176"/>
      <c r="D93" s="183" t="s">
        <v>67</v>
      </c>
      <c r="E93" s="183"/>
      <c r="F93" s="260" t="str">
        <f>'Building Detail'!J131</f>
        <v>Includes fire extingushier for the space per fire department standards</v>
      </c>
      <c r="G93" s="260"/>
      <c r="H93" s="260"/>
      <c r="I93" s="257">
        <f>'Building Detail'!H136</f>
        <v>1600</v>
      </c>
      <c r="J93" s="193"/>
      <c r="K93" s="251"/>
    </row>
    <row r="94" spans="1:11" s="9" customFormat="1" ht="17">
      <c r="A94" s="154"/>
      <c r="B94" s="179" t="str">
        <f>'Building Detail'!B130</f>
        <v>11005</v>
      </c>
      <c r="C94" s="187"/>
      <c r="D94" s="185" t="str">
        <f>'Building Detail'!D130</f>
        <v>Projector Screen/White board/Furniture</v>
      </c>
      <c r="E94" s="185"/>
      <c r="F94" s="260"/>
      <c r="G94" s="260"/>
      <c r="H94" s="260"/>
      <c r="I94" s="188">
        <f>'Building Detail'!H130</f>
        <v>0</v>
      </c>
      <c r="J94" s="192"/>
      <c r="K94" s="250"/>
    </row>
    <row r="95" spans="1:11" s="9" customFormat="1" ht="17">
      <c r="A95" s="154"/>
      <c r="B95" s="179" t="str">
        <f>'Building Detail'!B131</f>
        <v>11010</v>
      </c>
      <c r="C95" s="187"/>
      <c r="D95" s="185" t="str">
        <f>'Building Detail'!D131</f>
        <v>Fire extinghusier &amp; Knox Box</v>
      </c>
      <c r="E95" s="185"/>
      <c r="F95" s="260" t="str">
        <f>'Building Detail'!J131</f>
        <v>Includes fire extingushier for the space per fire department standards</v>
      </c>
      <c r="G95" s="260"/>
      <c r="H95" s="260"/>
      <c r="I95" s="188">
        <f>'Building Detail'!H131</f>
        <v>1600</v>
      </c>
      <c r="J95" s="192"/>
      <c r="K95" s="250"/>
    </row>
    <row r="96" spans="1:11" s="9" customFormat="1" ht="16">
      <c r="A96" s="154"/>
      <c r="B96" s="178"/>
      <c r="C96" s="245"/>
      <c r="D96" s="183"/>
      <c r="E96" s="183"/>
      <c r="F96" s="260"/>
      <c r="G96" s="260"/>
      <c r="H96" s="260"/>
      <c r="I96" s="188"/>
      <c r="J96" s="192"/>
      <c r="K96" s="250"/>
    </row>
    <row r="97" spans="1:11" ht="27" customHeight="1">
      <c r="A97" s="71"/>
      <c r="B97" s="177">
        <v>12000</v>
      </c>
      <c r="C97" s="176"/>
      <c r="D97" s="177" t="str">
        <f>'Building Detail'!D139</f>
        <v>FURNISHINGS/TRASH REMOVAL</v>
      </c>
      <c r="E97" s="177"/>
      <c r="F97" s="259" t="s">
        <v>527</v>
      </c>
      <c r="G97" s="259"/>
      <c r="H97" s="259"/>
      <c r="I97" s="257">
        <f>'Off-Site Summary'!H28+'Site Summary'!H28+'Garage Summary'!H28+'Building Summary'!H32</f>
        <v>16077.599999999999</v>
      </c>
      <c r="J97" s="191">
        <f>I97/I17</f>
        <v>1.8437614678899081</v>
      </c>
      <c r="K97" s="249"/>
    </row>
    <row r="98" spans="1:11" s="9" customFormat="1" ht="18" customHeight="1">
      <c r="A98" s="154"/>
      <c r="B98" s="187">
        <f>'Building Detail'!B140</f>
        <v>12100</v>
      </c>
      <c r="C98" s="187"/>
      <c r="D98" s="185" t="str">
        <f>'Building Detail'!D140</f>
        <v>Trash Removal and Disposing</v>
      </c>
      <c r="E98" s="185"/>
      <c r="F98" s="260"/>
      <c r="G98" s="260"/>
      <c r="H98" s="260"/>
      <c r="I98" s="188">
        <f>'Building Detail'!H140</f>
        <v>16077.599999999999</v>
      </c>
      <c r="J98" s="192"/>
      <c r="K98" s="250"/>
    </row>
    <row r="99" spans="1:11" s="9" customFormat="1" ht="21.75" customHeight="1">
      <c r="A99" s="154"/>
      <c r="B99" s="187">
        <f>'Building Detail'!B141</f>
        <v>12100</v>
      </c>
      <c r="C99" s="187"/>
      <c r="D99" s="185" t="str">
        <f>'Building Detail'!D141</f>
        <v>Signs</v>
      </c>
      <c r="E99" s="185"/>
      <c r="F99" s="260"/>
      <c r="G99" s="260"/>
      <c r="H99" s="260"/>
      <c r="I99" s="188">
        <f>'Building Detail'!H141</f>
        <v>0</v>
      </c>
      <c r="J99" s="192"/>
      <c r="K99" s="250"/>
    </row>
    <row r="100" spans="1:11" ht="11" customHeight="1">
      <c r="A100" s="71"/>
      <c r="B100" s="187"/>
      <c r="C100" s="180"/>
      <c r="D100" s="181"/>
      <c r="E100" s="181"/>
      <c r="F100" s="111"/>
      <c r="G100" s="111"/>
      <c r="H100" s="111"/>
      <c r="I100" s="188"/>
      <c r="J100" s="193"/>
      <c r="K100" s="251"/>
    </row>
    <row r="101" spans="1:11" s="2" customFormat="1" ht="30.75" customHeight="1">
      <c r="A101" s="152"/>
      <c r="B101" s="177">
        <v>14000</v>
      </c>
      <c r="C101" s="176"/>
      <c r="D101" s="177" t="s">
        <v>35</v>
      </c>
      <c r="E101" s="177"/>
      <c r="F101" s="263"/>
      <c r="G101" s="263"/>
      <c r="H101" s="263"/>
      <c r="I101" s="190">
        <f>'Off-Site Summary'!H30+'Site Summary'!H30+'Garage Summary'!H30+'Building Summary'!H33</f>
        <v>0</v>
      </c>
      <c r="J101" s="191">
        <f>I101/I17</f>
        <v>0</v>
      </c>
      <c r="K101" s="249"/>
    </row>
    <row r="102" spans="1:11" s="2" customFormat="1" ht="48" customHeight="1">
      <c r="A102" s="152"/>
      <c r="B102" s="177">
        <v>15000</v>
      </c>
      <c r="C102" s="176"/>
      <c r="D102" s="177" t="s">
        <v>36</v>
      </c>
      <c r="E102" s="177"/>
      <c r="F102" s="260"/>
      <c r="G102" s="260"/>
      <c r="H102" s="260"/>
      <c r="I102" s="257">
        <f>'Off-Site Summary'!H31+'Site Summary'!H31+'Garage Summary'!H31+'Building Summary'!H34</f>
        <v>131913</v>
      </c>
      <c r="J102" s="191">
        <f>I102/I17</f>
        <v>15.1276376146789</v>
      </c>
      <c r="K102" s="249"/>
    </row>
    <row r="103" spans="1:11" s="9" customFormat="1" ht="27" customHeight="1">
      <c r="A103" s="154"/>
      <c r="B103" s="187">
        <f>'Building Detail'!B151</f>
        <v>15500</v>
      </c>
      <c r="C103" s="187"/>
      <c r="D103" s="185" t="str">
        <f>'Building Detail'!D151</f>
        <v>HVAC</v>
      </c>
      <c r="E103" s="185"/>
      <c r="F103" s="259" t="str">
        <f>'Building Detail'!J151</f>
        <v>Includes 3 new HVAC units.  Includes repairing 5 existing units to current standards.  Air balancing</v>
      </c>
      <c r="G103" s="259"/>
      <c r="H103" s="259"/>
      <c r="I103" s="188">
        <f>'Building Detail'!H151</f>
        <v>131913</v>
      </c>
      <c r="J103" s="192"/>
      <c r="K103" s="250"/>
    </row>
    <row r="104" spans="1:11" s="9" customFormat="1" ht="18.75" customHeight="1">
      <c r="A104" s="154"/>
      <c r="B104" s="187" t="str">
        <f>'Building Detail'!B152</f>
        <v>15540</v>
      </c>
      <c r="C104" s="187"/>
      <c r="D104" s="185" t="str">
        <f>'Building Detail'!D152</f>
        <v>Sheet Metal</v>
      </c>
      <c r="E104" s="185"/>
      <c r="F104" s="260"/>
      <c r="G104" s="260"/>
      <c r="H104" s="260"/>
      <c r="I104" s="188">
        <f>'Building Detail'!H152</f>
        <v>0</v>
      </c>
      <c r="J104" s="192"/>
      <c r="K104" s="250"/>
    </row>
    <row r="105" spans="1:11" ht="2" customHeight="1">
      <c r="A105" s="71"/>
      <c r="B105" s="187"/>
      <c r="C105" s="180"/>
      <c r="D105" s="181"/>
      <c r="E105" s="181"/>
      <c r="F105" s="260"/>
      <c r="G105" s="260"/>
      <c r="H105" s="260"/>
      <c r="I105" s="188"/>
      <c r="J105" s="193"/>
      <c r="K105" s="251"/>
    </row>
    <row r="106" spans="1:11" s="2" customFormat="1" ht="26" customHeight="1">
      <c r="A106" s="152"/>
      <c r="B106" s="177">
        <v>151000</v>
      </c>
      <c r="C106" s="176"/>
      <c r="D106" s="177" t="str">
        <f>'Building Detail'!D157</f>
        <v>Fire sprinkler system</v>
      </c>
      <c r="E106" s="177"/>
      <c r="F106" s="259"/>
      <c r="G106" s="259"/>
      <c r="H106" s="259"/>
      <c r="I106" s="190">
        <f>'Building Detail'!H157</f>
        <v>0</v>
      </c>
      <c r="J106" s="191">
        <f>'Building Detail'!I160</f>
        <v>0</v>
      </c>
      <c r="K106" s="249"/>
    </row>
    <row r="107" spans="1:11" s="9" customFormat="1" ht="33" customHeight="1">
      <c r="A107" s="154"/>
      <c r="B107" s="187" t="str">
        <f>'Building Detail'!B158</f>
        <v>15100</v>
      </c>
      <c r="C107" s="187"/>
      <c r="D107" s="185" t="str">
        <f>'Building Detail'!D158</f>
        <v>ALT: Raise FS from 9' to 10' Rm 526</v>
      </c>
      <c r="E107" s="185"/>
      <c r="F107" s="260" t="str">
        <f>'Building Detail'!J157</f>
        <v>No Fire Sprinklers needed</v>
      </c>
      <c r="G107" s="260"/>
      <c r="H107" s="260"/>
      <c r="I107" s="188"/>
      <c r="J107" s="192"/>
      <c r="K107" s="250"/>
    </row>
    <row r="108" spans="1:11" ht="17" customHeight="1">
      <c r="A108" s="71"/>
      <c r="B108" s="187"/>
      <c r="C108" s="180"/>
      <c r="D108" s="181"/>
      <c r="E108" s="181"/>
      <c r="F108" s="111"/>
      <c r="G108" s="111"/>
      <c r="H108" s="111"/>
      <c r="I108" s="188"/>
      <c r="J108" s="193"/>
      <c r="K108" s="251"/>
    </row>
    <row r="109" spans="1:11" s="2" customFormat="1" ht="19" customHeight="1">
      <c r="A109" s="152"/>
      <c r="B109" s="177">
        <v>153000</v>
      </c>
      <c r="C109" s="176"/>
      <c r="D109" s="177" t="str">
        <f>'Building Detail'!D162</f>
        <v>Plumbing</v>
      </c>
      <c r="E109" s="177"/>
      <c r="F109" s="259"/>
      <c r="G109" s="259"/>
      <c r="H109" s="259"/>
      <c r="I109" s="257">
        <f>'Building Detail'!H166</f>
        <v>67788.5</v>
      </c>
      <c r="J109" s="191">
        <f>'Building Detail'!I166</f>
        <v>7.7739105504587158</v>
      </c>
      <c r="K109" s="249"/>
    </row>
    <row r="110" spans="1:11" s="9" customFormat="1" ht="33" customHeight="1">
      <c r="A110" s="154"/>
      <c r="B110" s="187">
        <f>'Building Detail'!B163</f>
        <v>15300</v>
      </c>
      <c r="C110" s="187"/>
      <c r="D110" s="181" t="str">
        <f>'Building Detail'!D163</f>
        <v>Plumbing</v>
      </c>
      <c r="E110" s="181"/>
      <c r="F110" s="260" t="str">
        <f>'Building Detail'!J163</f>
        <v>Includes new plumbing for 2 new ADA bathrooms.  Includes removing all plumbing on all bathrooms to install new tiles and put back plumbing fixtures in the same locations.  Includes new plumbing for Sauna and Shower room</v>
      </c>
      <c r="G110" s="260"/>
      <c r="H110" s="260"/>
      <c r="I110" s="188">
        <f>'Building Detail'!H163</f>
        <v>48253.999999999993</v>
      </c>
      <c r="J110" s="192"/>
      <c r="K110" s="250"/>
    </row>
    <row r="111" spans="1:11" s="9" customFormat="1" ht="35" customHeight="1">
      <c r="A111" s="154"/>
      <c r="B111" s="187" t="str">
        <f>'Building Detail'!B164</f>
        <v>15350</v>
      </c>
      <c r="C111" s="187"/>
      <c r="D111" s="181" t="str">
        <f>'Building Detail'!D164</f>
        <v>Plumbing Fixtures/Rough Material</v>
      </c>
      <c r="E111" s="181"/>
      <c r="F111" s="260" t="str">
        <f>'Building Detail'!J164</f>
        <v>Includes plumbing fixtures per drawings for ADA bathroom and replace 2 broken fixtures in mens</v>
      </c>
      <c r="G111" s="260"/>
      <c r="H111" s="260"/>
      <c r="I111" s="188">
        <f>'Building Detail'!H164</f>
        <v>19534.5</v>
      </c>
      <c r="J111" s="192"/>
      <c r="K111" s="250"/>
    </row>
    <row r="112" spans="1:11" s="2" customFormat="1" ht="36" customHeight="1">
      <c r="A112" s="152"/>
      <c r="B112" s="177">
        <v>16000</v>
      </c>
      <c r="C112" s="176"/>
      <c r="D112" s="177" t="s">
        <v>37</v>
      </c>
      <c r="E112" s="177"/>
      <c r="F112" s="259"/>
      <c r="G112" s="259"/>
      <c r="H112" s="259"/>
      <c r="I112" s="257">
        <f>'Off-Site Summary'!H32+'Site Summary'!H32+'Garage Summary'!H32+'Building Summary'!H36</f>
        <v>267820.79999999999</v>
      </c>
      <c r="J112" s="191">
        <f>I112/I17</f>
        <v>30.713394495412842</v>
      </c>
      <c r="K112" s="249"/>
    </row>
    <row r="113" spans="1:12" s="9" customFormat="1" ht="43" customHeight="1">
      <c r="A113" s="154"/>
      <c r="B113" s="187">
        <f>'Building Detail'!B169</f>
        <v>16100</v>
      </c>
      <c r="C113" s="187"/>
      <c r="D113" s="181" t="str">
        <f>'Building Detail'!D169</f>
        <v>Building Electrical (sf)</v>
      </c>
      <c r="E113" s="181"/>
      <c r="F113" s="260" t="str">
        <f>'Building Detail'!J169</f>
        <v>New electrical and power per drawings for the bathroom and lounge area.  Includes T24 final test and reports.  Replace all fixtures in the entire floors.  Includes rewire new offices and layout.  Includes new power and wiring for open office areas</v>
      </c>
      <c r="G113" s="260"/>
      <c r="H113" s="260"/>
      <c r="I113" s="188">
        <f>'Building Detail'!H169</f>
        <v>189957.3</v>
      </c>
      <c r="J113" s="192"/>
      <c r="K113" s="250"/>
    </row>
    <row r="114" spans="1:12" s="9" customFormat="1" ht="39" customHeight="1">
      <c r="A114" s="154"/>
      <c r="B114" s="187">
        <f>'Building Detail'!B170</f>
        <v>16200</v>
      </c>
      <c r="C114" s="187"/>
      <c r="D114" s="181" t="str">
        <f>'Building Detail'!D170</f>
        <v>Electrical (Building Interior Fixtures)</v>
      </c>
      <c r="E114" s="181"/>
      <c r="F114" s="260" t="str">
        <f>'Building Detail'!J170</f>
        <v>Includes new lights (downlights) in the lobby area and reconfiguring power/wiring for the new office layouts and safeoff during construction</v>
      </c>
      <c r="G114" s="261"/>
      <c r="H114" s="261"/>
      <c r="I114" s="188">
        <f>'Building Detail'!H170</f>
        <v>21961.5</v>
      </c>
      <c r="J114" s="192"/>
      <c r="K114" s="250"/>
    </row>
    <row r="115" spans="1:12" s="9" customFormat="1" ht="39" customHeight="1">
      <c r="A115" s="154"/>
      <c r="B115" s="187">
        <f>'Building Detail'!B171</f>
        <v>16300</v>
      </c>
      <c r="C115" s="187"/>
      <c r="D115" s="181" t="str">
        <f>'Building Detail'!D171</f>
        <v>Electrical (Special Interior Work)</v>
      </c>
      <c r="E115" s="181"/>
      <c r="F115" s="260" t="str">
        <f>'Building Detail'!J171</f>
        <v>Includes making all receptacles reframe and reinstall to ADA height.  Approx. Over 200 receptacples. May require to rewire all receptacles in the entire builidng and both floors</v>
      </c>
      <c r="G115" s="261"/>
      <c r="H115" s="261"/>
      <c r="I115" s="188">
        <f>'Building Detail'!H171</f>
        <v>55902</v>
      </c>
      <c r="J115" s="192"/>
      <c r="K115" s="250"/>
    </row>
    <row r="116" spans="1:12" ht="18" customHeight="1">
      <c r="A116" s="71"/>
      <c r="B116" s="187"/>
      <c r="C116" s="180"/>
      <c r="D116" s="181"/>
      <c r="E116" s="181"/>
      <c r="F116" s="111"/>
      <c r="G116" s="111"/>
      <c r="H116" s="111"/>
      <c r="I116" s="188"/>
      <c r="J116" s="193"/>
      <c r="K116" s="251"/>
    </row>
    <row r="117" spans="1:12" ht="18" customHeight="1">
      <c r="A117" s="71"/>
      <c r="B117" s="175">
        <v>17000</v>
      </c>
      <c r="C117" s="176"/>
      <c r="D117" s="183" t="s">
        <v>521</v>
      </c>
      <c r="E117" s="183"/>
      <c r="F117" s="215"/>
      <c r="G117" s="111"/>
      <c r="H117" s="111"/>
      <c r="I117" s="258">
        <f>'Building Detail'!H183</f>
        <v>6268</v>
      </c>
      <c r="J117" s="193"/>
      <c r="K117" s="251"/>
    </row>
    <row r="118" spans="1:12" s="9" customFormat="1" ht="18" customHeight="1">
      <c r="A118" s="154"/>
      <c r="B118" s="187">
        <f>'Building Detail'!B177</f>
        <v>17100</v>
      </c>
      <c r="C118" s="245"/>
      <c r="D118" s="181" t="str">
        <f>'Building Detail'!D177</f>
        <v>Fire life safety</v>
      </c>
      <c r="E118" s="181"/>
      <c r="F118" s="260" t="str">
        <f>'Building Detail'!J183</f>
        <v>Includes new Fire life safety connection put new FLS in the new exit hallway</v>
      </c>
      <c r="G118" s="260"/>
      <c r="H118" s="260"/>
      <c r="I118" s="198">
        <f>'Building Detail'!H177</f>
        <v>6268</v>
      </c>
      <c r="J118" s="199">
        <f>I118/I17</f>
        <v>0.71880733944954134</v>
      </c>
      <c r="K118" s="256"/>
    </row>
    <row r="119" spans="1:12" s="2" customFormat="1" ht="47" customHeight="1">
      <c r="A119" s="152"/>
      <c r="B119" s="102">
        <v>18000</v>
      </c>
      <c r="C119" s="95"/>
      <c r="D119" s="177" t="s">
        <v>526</v>
      </c>
      <c r="E119" s="177"/>
      <c r="F119" s="259" t="s">
        <v>565</v>
      </c>
      <c r="G119" s="259"/>
      <c r="H119" s="259"/>
      <c r="I119" s="257">
        <v>0</v>
      </c>
      <c r="J119" s="191" t="s">
        <v>489</v>
      </c>
      <c r="K119" s="249"/>
    </row>
    <row r="120" spans="1:12" ht="10" customHeight="1" thickBot="1">
      <c r="A120" s="71"/>
      <c r="B120" s="108"/>
      <c r="C120" s="92"/>
      <c r="D120" s="181"/>
      <c r="E120" s="181"/>
      <c r="F120" s="263"/>
      <c r="G120" s="263"/>
      <c r="H120" s="263"/>
      <c r="I120" s="200"/>
      <c r="J120" s="189"/>
      <c r="K120" s="180"/>
    </row>
    <row r="121" spans="1:12" ht="6" customHeight="1">
      <c r="A121" s="71"/>
      <c r="B121" s="108"/>
      <c r="C121" s="92"/>
      <c r="D121" s="181"/>
      <c r="E121" s="181"/>
      <c r="F121" s="111"/>
      <c r="G121" s="111"/>
      <c r="H121" s="111"/>
      <c r="I121" s="201"/>
      <c r="J121" s="189"/>
      <c r="K121" s="180"/>
    </row>
    <row r="122" spans="1:12" ht="6" customHeight="1">
      <c r="A122" s="71"/>
      <c r="B122" s="108"/>
      <c r="C122" s="92"/>
      <c r="D122" s="181"/>
      <c r="E122" s="181"/>
      <c r="F122" s="111"/>
      <c r="G122" s="111"/>
      <c r="H122" s="111"/>
      <c r="I122" s="201"/>
      <c r="J122" s="189"/>
      <c r="K122" s="180"/>
    </row>
    <row r="123" spans="1:12" ht="16">
      <c r="A123" s="71"/>
      <c r="B123" s="108"/>
      <c r="C123" s="92"/>
      <c r="D123" s="177" t="s">
        <v>41</v>
      </c>
      <c r="E123" s="177"/>
      <c r="F123" s="180"/>
      <c r="G123" s="180"/>
      <c r="H123" s="180"/>
      <c r="I123" s="188">
        <f>SUM(I93+I85+I117+I112+I109+I102+I97+I74+I63+I53+I41+I35+I29+I25+I69+I119+I49+I106)</f>
        <v>1103692.5</v>
      </c>
      <c r="J123" s="189"/>
      <c r="K123" s="180"/>
    </row>
    <row r="124" spans="1:12" ht="16">
      <c r="A124" s="71"/>
      <c r="B124" s="108"/>
      <c r="C124" s="92"/>
      <c r="D124" s="181"/>
      <c r="E124" s="181"/>
      <c r="F124" s="180"/>
      <c r="G124" s="180"/>
      <c r="H124" s="180"/>
      <c r="I124" s="201"/>
      <c r="J124" s="189"/>
      <c r="K124" s="180"/>
      <c r="L124" s="274">
        <f>I123-'Building Detail'!H186</f>
        <v>0</v>
      </c>
    </row>
    <row r="125" spans="1:12" ht="34">
      <c r="A125" s="71"/>
      <c r="B125" s="108"/>
      <c r="C125" s="92"/>
      <c r="D125" s="185" t="s">
        <v>507</v>
      </c>
      <c r="E125" s="185"/>
      <c r="F125" s="202"/>
      <c r="G125" s="180"/>
      <c r="H125" s="180"/>
      <c r="I125" s="209">
        <f>'General Conditions'!G110</f>
        <v>48029.74</v>
      </c>
      <c r="J125" s="189"/>
      <c r="K125" s="180"/>
    </row>
    <row r="126" spans="1:12" ht="16">
      <c r="A126" s="71"/>
      <c r="B126" s="108"/>
      <c r="C126" s="92"/>
      <c r="D126" s="181" t="s">
        <v>44</v>
      </c>
      <c r="E126" s="181"/>
      <c r="F126" s="202"/>
      <c r="G126" s="180"/>
      <c r="H126" s="180"/>
      <c r="I126" s="209">
        <f>3.7%*'Building Detail'!H191</f>
        <v>40836.622500000005</v>
      </c>
      <c r="J126" s="189"/>
      <c r="K126" s="180"/>
    </row>
    <row r="127" spans="1:12" ht="16">
      <c r="A127" s="71"/>
      <c r="B127" s="108"/>
      <c r="C127" s="92"/>
      <c r="D127" s="181" t="s">
        <v>618</v>
      </c>
      <c r="E127" s="181"/>
      <c r="F127" s="202" t="s">
        <v>619</v>
      </c>
      <c r="G127" s="180"/>
      <c r="H127" s="223"/>
      <c r="I127" s="209"/>
      <c r="J127" s="189"/>
      <c r="K127" s="180"/>
    </row>
    <row r="128" spans="1:12" ht="16">
      <c r="A128" s="71"/>
      <c r="B128" s="108"/>
      <c r="C128" s="92"/>
      <c r="D128" s="181" t="s">
        <v>45</v>
      </c>
      <c r="E128" s="181"/>
      <c r="F128" s="202"/>
      <c r="G128" s="180"/>
      <c r="H128" s="224"/>
      <c r="I128" s="209">
        <f>I122*F128</f>
        <v>0</v>
      </c>
      <c r="J128" s="189"/>
      <c r="K128" s="180"/>
    </row>
    <row r="129" spans="1:11" ht="16">
      <c r="A129" s="71"/>
      <c r="B129" s="108"/>
      <c r="C129" s="92"/>
      <c r="D129" s="181" t="s">
        <v>55</v>
      </c>
      <c r="E129" s="181"/>
      <c r="F129" s="202"/>
      <c r="G129" s="180"/>
      <c r="H129" s="224"/>
      <c r="I129" s="209">
        <f>I123*F129</f>
        <v>0</v>
      </c>
      <c r="J129" s="189"/>
      <c r="K129" s="180"/>
    </row>
    <row r="130" spans="1:11" ht="16">
      <c r="A130" s="71"/>
      <c r="B130" s="108"/>
      <c r="C130" s="92"/>
      <c r="D130" s="181" t="s">
        <v>47</v>
      </c>
      <c r="E130" s="181"/>
      <c r="F130" s="202"/>
      <c r="G130" s="180"/>
      <c r="H130" s="224"/>
      <c r="I130" s="210">
        <f>5%*'Building Detail'!H186</f>
        <v>55184.625</v>
      </c>
      <c r="J130" s="189"/>
      <c r="K130" s="180"/>
    </row>
    <row r="131" spans="1:11" ht="17" thickBot="1">
      <c r="A131" s="71"/>
      <c r="B131" s="108"/>
      <c r="C131" s="92"/>
      <c r="D131" s="181" t="s">
        <v>504</v>
      </c>
      <c r="E131" s="181"/>
      <c r="F131" s="203" t="s">
        <v>617</v>
      </c>
      <c r="G131" s="180"/>
      <c r="H131" s="223"/>
      <c r="I131" s="211"/>
      <c r="J131" s="189"/>
      <c r="K131" s="180"/>
    </row>
    <row r="132" spans="1:11" ht="16">
      <c r="A132" s="71"/>
      <c r="B132" s="108"/>
      <c r="C132" s="92"/>
      <c r="D132" s="177" t="s">
        <v>41</v>
      </c>
      <c r="E132" s="177"/>
      <c r="F132" s="180"/>
      <c r="G132" s="180"/>
      <c r="H132" s="180"/>
      <c r="I132" s="209">
        <f>SUM(I121:I131)</f>
        <v>1247743.4875</v>
      </c>
      <c r="J132" s="193">
        <f>I132/I17</f>
        <v>143.08984948394496</v>
      </c>
      <c r="K132" s="251"/>
    </row>
    <row r="133" spans="1:11" ht="16">
      <c r="A133" s="71"/>
      <c r="B133" s="108"/>
      <c r="C133" s="92"/>
      <c r="D133" s="181"/>
      <c r="E133" s="181"/>
      <c r="F133" s="180"/>
      <c r="G133" s="180"/>
      <c r="H133" s="180"/>
      <c r="I133" s="209"/>
      <c r="J133" s="189"/>
      <c r="K133" s="180"/>
    </row>
    <row r="134" spans="1:11" ht="16">
      <c r="A134" s="71"/>
      <c r="B134" s="108"/>
      <c r="C134" s="92"/>
      <c r="D134" s="181" t="s">
        <v>48</v>
      </c>
      <c r="E134" s="181"/>
      <c r="F134" s="202">
        <v>0</v>
      </c>
      <c r="G134" s="180"/>
      <c r="H134" s="180"/>
      <c r="I134" s="209">
        <f>I132*F134</f>
        <v>0</v>
      </c>
      <c r="J134" s="189"/>
      <c r="K134" s="180"/>
    </row>
    <row r="135" spans="1:11" ht="17" thickBot="1">
      <c r="A135" s="71"/>
      <c r="B135" s="108"/>
      <c r="C135" s="92"/>
      <c r="D135" s="204"/>
      <c r="E135" s="204"/>
      <c r="F135" s="205"/>
      <c r="G135" s="205"/>
      <c r="H135" s="205"/>
      <c r="I135" s="212"/>
      <c r="J135" s="189"/>
      <c r="K135" s="180"/>
    </row>
    <row r="136" spans="1:11" ht="7" customHeight="1">
      <c r="A136" s="71"/>
      <c r="B136" s="108"/>
      <c r="C136" s="92"/>
      <c r="D136" s="204"/>
      <c r="E136" s="204"/>
      <c r="F136" s="206"/>
      <c r="G136" s="205"/>
      <c r="H136" s="205"/>
      <c r="I136" s="213"/>
      <c r="J136" s="189"/>
      <c r="K136" s="180"/>
    </row>
    <row r="137" spans="1:11" ht="17" thickBot="1">
      <c r="A137" s="71"/>
      <c r="B137" s="108"/>
      <c r="C137" s="92"/>
      <c r="D137" s="207" t="s">
        <v>56</v>
      </c>
      <c r="E137" s="207"/>
      <c r="F137" s="180"/>
      <c r="G137" s="180"/>
      <c r="H137" s="180"/>
      <c r="I137" s="214">
        <f>SUM(I132:I135)+I136</f>
        <v>1247743.4875</v>
      </c>
      <c r="J137" s="191">
        <f>I137/I16</f>
        <v>143.08984948394496</v>
      </c>
      <c r="K137" s="249"/>
    </row>
    <row r="138" spans="1:11" ht="7" customHeight="1" thickTop="1">
      <c r="A138" s="71"/>
      <c r="B138" s="108"/>
      <c r="C138" s="92"/>
      <c r="D138" s="181"/>
      <c r="E138" s="181"/>
      <c r="F138" s="180"/>
      <c r="G138" s="180"/>
      <c r="H138" s="180"/>
      <c r="I138" s="208"/>
      <c r="J138" s="189"/>
      <c r="K138" s="180"/>
    </row>
    <row r="139" spans="1:11" ht="16">
      <c r="A139" s="71"/>
      <c r="B139" s="108"/>
      <c r="C139" s="92"/>
      <c r="D139" s="259" t="s">
        <v>630</v>
      </c>
      <c r="E139" s="259"/>
      <c r="F139" s="259"/>
      <c r="G139" s="259"/>
      <c r="H139" s="259"/>
      <c r="I139" s="259"/>
      <c r="J139" s="270"/>
      <c r="K139" s="111"/>
    </row>
    <row r="140" spans="1:11" ht="16">
      <c r="A140" s="71"/>
      <c r="B140" s="108"/>
      <c r="C140" s="92"/>
      <c r="D140" s="259"/>
      <c r="E140" s="259"/>
      <c r="F140" s="259"/>
      <c r="G140" s="259"/>
      <c r="H140" s="259"/>
      <c r="I140" s="259"/>
      <c r="J140" s="270"/>
      <c r="K140" s="111"/>
    </row>
    <row r="141" spans="1:11" ht="17" thickBot="1">
      <c r="A141" s="80"/>
      <c r="B141" s="246"/>
      <c r="C141" s="106"/>
      <c r="D141" s="271"/>
      <c r="E141" s="271"/>
      <c r="F141" s="271"/>
      <c r="G141" s="271"/>
      <c r="H141" s="271"/>
      <c r="I141" s="271"/>
      <c r="J141" s="272"/>
      <c r="K141" s="111"/>
    </row>
    <row r="142" spans="1:11" ht="17" thickTop="1">
      <c r="B142" s="108"/>
      <c r="C142" s="92"/>
      <c r="D142" s="103"/>
      <c r="E142" s="103"/>
      <c r="F142" s="92"/>
      <c r="G142" s="92"/>
      <c r="H142" s="92"/>
      <c r="I142" s="247"/>
      <c r="J142" s="92"/>
      <c r="K142" s="92"/>
    </row>
    <row r="143" spans="1:11" ht="16">
      <c r="B143" s="108"/>
      <c r="C143" s="92"/>
      <c r="D143" s="103"/>
      <c r="E143" s="103"/>
      <c r="F143" s="92"/>
      <c r="G143" s="92"/>
      <c r="H143" s="92"/>
      <c r="I143" s="247"/>
      <c r="J143" s="92"/>
      <c r="K143" s="92"/>
    </row>
    <row r="144" spans="1:11" ht="16">
      <c r="B144" s="108"/>
      <c r="C144" s="92"/>
      <c r="D144" s="103"/>
      <c r="E144" s="103"/>
      <c r="F144" s="92"/>
      <c r="G144" s="92"/>
      <c r="H144" s="92"/>
      <c r="I144" s="247"/>
      <c r="J144" s="92"/>
      <c r="K144" s="92"/>
    </row>
  </sheetData>
  <mergeCells count="83">
    <mergeCell ref="F83:H83"/>
    <mergeCell ref="F76:H76"/>
    <mergeCell ref="F77:H77"/>
    <mergeCell ref="F75:H75"/>
    <mergeCell ref="F57:H57"/>
    <mergeCell ref="F105:H105"/>
    <mergeCell ref="D139:J141"/>
    <mergeCell ref="F49:H49"/>
    <mergeCell ref="F112:H112"/>
    <mergeCell ref="F120:H120"/>
    <mergeCell ref="F97:H97"/>
    <mergeCell ref="F110:H110"/>
    <mergeCell ref="F111:H111"/>
    <mergeCell ref="F107:H107"/>
    <mergeCell ref="F50:H50"/>
    <mergeCell ref="F54:H54"/>
    <mergeCell ref="F56:H56"/>
    <mergeCell ref="F55:H55"/>
    <mergeCell ref="F63:H63"/>
    <mergeCell ref="D5:G5"/>
    <mergeCell ref="F109:H109"/>
    <mergeCell ref="F53:H53"/>
    <mergeCell ref="F69:H69"/>
    <mergeCell ref="F64:H64"/>
    <mergeCell ref="F29:H29"/>
    <mergeCell ref="F35:H35"/>
    <mergeCell ref="F33:H33"/>
    <mergeCell ref="F42:H42"/>
    <mergeCell ref="F47:H47"/>
    <mergeCell ref="F36:H36"/>
    <mergeCell ref="F37:H37"/>
    <mergeCell ref="F46:H46"/>
    <mergeCell ref="F99:H99"/>
    <mergeCell ref="F102:H102"/>
    <mergeCell ref="F85:H85"/>
    <mergeCell ref="F119:H119"/>
    <mergeCell ref="F41:H41"/>
    <mergeCell ref="F104:H104"/>
    <mergeCell ref="F113:H113"/>
    <mergeCell ref="F78:H78"/>
    <mergeCell ref="F60:H60"/>
    <mergeCell ref="F61:H61"/>
    <mergeCell ref="F65:H65"/>
    <mergeCell ref="F81:H81"/>
    <mergeCell ref="F82:H82"/>
    <mergeCell ref="F86:H86"/>
    <mergeCell ref="F66:H66"/>
    <mergeCell ref="F67:H67"/>
    <mergeCell ref="F72:H72"/>
    <mergeCell ref="F91:H91"/>
    <mergeCell ref="F58:H58"/>
    <mergeCell ref="F118:H118"/>
    <mergeCell ref="F24:H24"/>
    <mergeCell ref="F25:H25"/>
    <mergeCell ref="F101:H101"/>
    <mergeCell ref="F103:H103"/>
    <mergeCell ref="F106:H106"/>
    <mergeCell ref="F26:H26"/>
    <mergeCell ref="F27:H27"/>
    <mergeCell ref="F30:H30"/>
    <mergeCell ref="F31:H31"/>
    <mergeCell ref="F32:H32"/>
    <mergeCell ref="F70:H70"/>
    <mergeCell ref="F71:H71"/>
    <mergeCell ref="F88:H88"/>
    <mergeCell ref="F89:H89"/>
    <mergeCell ref="F90:H90"/>
    <mergeCell ref="F38:H38"/>
    <mergeCell ref="F115:H115"/>
    <mergeCell ref="F51:H51"/>
    <mergeCell ref="F59:H59"/>
    <mergeCell ref="F96:H96"/>
    <mergeCell ref="F93:H93"/>
    <mergeCell ref="F114:H114"/>
    <mergeCell ref="F43:H43"/>
    <mergeCell ref="F44:H44"/>
    <mergeCell ref="F45:H45"/>
    <mergeCell ref="F79:H79"/>
    <mergeCell ref="F80:H80"/>
    <mergeCell ref="F98:H98"/>
    <mergeCell ref="F94:H94"/>
    <mergeCell ref="F95:H95"/>
    <mergeCell ref="F87:H87"/>
  </mergeCells>
  <phoneticPr fontId="0" type="noConversion"/>
  <pageMargins left="0.75" right="0.75" top="1" bottom="1" header="0.5" footer="0.5"/>
  <pageSetup scale="46" fitToHeight="2" orientation="portrait"/>
  <headerFooter alignWithMargins="0">
    <oddHeader>&amp;CBAINS Confidential</oddHeader>
    <oddFooter>&amp;C&amp;"Calibri,Regular"&amp;12&amp;K000000BAINS Development Confidential Document. Do not Duplicate without a written concents from  vkapila@bainsdev.com. Contact us for questions or comments</oddFooter>
  </headerFooter>
  <rowBreaks count="1" manualBreakCount="1">
    <brk id="73" max="16383" man="1"/>
  </rowBreaks>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4"/>
  <sheetViews>
    <sheetView topLeftCell="A33" zoomScale="125" zoomScaleNormal="125" workbookViewId="0">
      <selection activeCell="I31" sqref="I31"/>
    </sheetView>
  </sheetViews>
  <sheetFormatPr baseColWidth="10" defaultColWidth="8.83203125" defaultRowHeight="13"/>
  <cols>
    <col min="1" max="1" width="1.6640625" customWidth="1"/>
    <col min="2" max="2" width="7.6640625" style="9" customWidth="1"/>
    <col min="3" max="3" width="2.1640625" customWidth="1"/>
    <col min="4" max="4" width="32" customWidth="1"/>
    <col min="5" max="5" width="8.1640625" bestFit="1" customWidth="1"/>
    <col min="7" max="7" width="10.1640625" customWidth="1"/>
    <col min="8" max="8" width="11.5" style="14" bestFit="1" customWidth="1"/>
  </cols>
  <sheetData>
    <row r="1" spans="1:9">
      <c r="A1" s="59"/>
      <c r="B1" s="81"/>
      <c r="C1" s="60"/>
      <c r="D1" s="60"/>
      <c r="E1" s="60"/>
      <c r="F1" s="60"/>
      <c r="G1" s="60"/>
      <c r="H1" s="82"/>
      <c r="I1" s="61"/>
    </row>
    <row r="2" spans="1:9">
      <c r="A2" s="62"/>
      <c r="H2" s="83"/>
      <c r="I2" s="63"/>
    </row>
    <row r="3" spans="1:9">
      <c r="A3" s="62"/>
      <c r="H3" s="83"/>
      <c r="I3" s="63"/>
    </row>
    <row r="4" spans="1:9">
      <c r="A4" s="62"/>
      <c r="H4" s="83"/>
      <c r="I4" s="63"/>
    </row>
    <row r="5" spans="1:9">
      <c r="A5" s="62"/>
      <c r="H5" s="83"/>
      <c r="I5" s="63"/>
    </row>
    <row r="6" spans="1:9">
      <c r="A6" s="62"/>
      <c r="H6" s="83"/>
      <c r="I6" s="63"/>
    </row>
    <row r="7" spans="1:9">
      <c r="A7" s="62"/>
      <c r="B7" t="s">
        <v>0</v>
      </c>
      <c r="D7" s="2" t="str">
        <f>'Systems Summary'!D12</f>
        <v>N/A</v>
      </c>
      <c r="E7" t="s">
        <v>3</v>
      </c>
      <c r="H7" s="84" t="s">
        <v>471</v>
      </c>
      <c r="I7" s="63"/>
    </row>
    <row r="8" spans="1:9">
      <c r="A8" s="62"/>
      <c r="B8" t="s">
        <v>2</v>
      </c>
      <c r="D8" s="2" t="str">
        <f>'Systems Summary'!D8</f>
        <v>Close to Santana Row</v>
      </c>
      <c r="E8" t="s">
        <v>4</v>
      </c>
      <c r="H8" s="84" t="s">
        <v>472</v>
      </c>
      <c r="I8" s="63"/>
    </row>
    <row r="9" spans="1:9">
      <c r="A9" s="62"/>
      <c r="B9"/>
      <c r="D9" s="2">
        <f>'Systems Summary'!D9</f>
        <v>0</v>
      </c>
      <c r="E9" t="s">
        <v>6</v>
      </c>
      <c r="H9" s="85" t="s">
        <v>473</v>
      </c>
      <c r="I9" s="63"/>
    </row>
    <row r="10" spans="1:9">
      <c r="A10" s="62"/>
      <c r="B10"/>
      <c r="D10" s="2"/>
      <c r="E10" t="s">
        <v>7</v>
      </c>
      <c r="H10" s="85">
        <v>5</v>
      </c>
      <c r="I10" s="63"/>
    </row>
    <row r="11" spans="1:9">
      <c r="A11" s="62"/>
      <c r="B11"/>
      <c r="E11" t="s">
        <v>8</v>
      </c>
      <c r="H11" s="85" t="s">
        <v>473</v>
      </c>
      <c r="I11" s="63"/>
    </row>
    <row r="12" spans="1:9">
      <c r="A12" s="62"/>
      <c r="B12" t="s">
        <v>1</v>
      </c>
      <c r="D12" s="2" t="s">
        <v>488</v>
      </c>
      <c r="E12" t="s">
        <v>57</v>
      </c>
      <c r="H12" s="85" t="s">
        <v>473</v>
      </c>
      <c r="I12" s="63"/>
    </row>
    <row r="13" spans="1:9">
      <c r="A13" s="62"/>
      <c r="B13" t="s">
        <v>490</v>
      </c>
      <c r="D13" s="2" t="str">
        <f>'Systems Summary'!D13</f>
        <v>Drawings by Architects Julio</v>
      </c>
      <c r="E13" s="2"/>
      <c r="H13" s="85"/>
      <c r="I13" s="63"/>
    </row>
    <row r="14" spans="1:9">
      <c r="A14" s="62"/>
      <c r="B14"/>
      <c r="D14" s="2" t="s">
        <v>491</v>
      </c>
      <c r="E14" s="2"/>
      <c r="H14" s="85"/>
      <c r="I14" s="63"/>
    </row>
    <row r="15" spans="1:9">
      <c r="A15" s="62"/>
      <c r="B15" t="s">
        <v>475</v>
      </c>
      <c r="D15" s="2"/>
      <c r="E15" t="s">
        <v>308</v>
      </c>
      <c r="H15" s="85" t="s">
        <v>473</v>
      </c>
      <c r="I15" s="63" t="s">
        <v>58</v>
      </c>
    </row>
    <row r="16" spans="1:9">
      <c r="A16" s="62"/>
      <c r="B16"/>
      <c r="E16" t="s">
        <v>474</v>
      </c>
      <c r="H16" s="85">
        <v>5802</v>
      </c>
      <c r="I16" s="63" t="s">
        <v>58</v>
      </c>
    </row>
    <row r="17" spans="1:9">
      <c r="A17" s="62"/>
      <c r="B17" t="s">
        <v>476</v>
      </c>
      <c r="D17" s="86">
        <v>40774</v>
      </c>
      <c r="E17" t="s">
        <v>327</v>
      </c>
      <c r="H17" s="85">
        <v>5802</v>
      </c>
      <c r="I17" s="63" t="s">
        <v>58</v>
      </c>
    </row>
    <row r="18" spans="1:9">
      <c r="A18" s="62"/>
      <c r="B18"/>
      <c r="E18" t="s">
        <v>9</v>
      </c>
      <c r="H18" s="85" t="s">
        <v>473</v>
      </c>
      <c r="I18" s="63" t="s">
        <v>58</v>
      </c>
    </row>
    <row r="19" spans="1:9" ht="14" thickBot="1">
      <c r="B19"/>
      <c r="H19" s="85"/>
      <c r="I19" s="63"/>
    </row>
    <row r="20" spans="1:9" ht="15" thickTop="1" thickBot="1">
      <c r="B20" s="87" t="s">
        <v>11</v>
      </c>
      <c r="C20" s="88"/>
      <c r="D20" s="87" t="s">
        <v>12</v>
      </c>
      <c r="E20" s="87" t="s">
        <v>38</v>
      </c>
      <c r="F20" s="87" t="s">
        <v>14</v>
      </c>
      <c r="G20" s="87" t="s">
        <v>15</v>
      </c>
      <c r="H20" s="89" t="s">
        <v>15</v>
      </c>
      <c r="I20" s="90" t="s">
        <v>40</v>
      </c>
    </row>
    <row r="21" spans="1:9" ht="14" thickTop="1"/>
    <row r="22" spans="1:9">
      <c r="B22" s="10" t="s">
        <v>16</v>
      </c>
      <c r="D22" t="s">
        <v>90</v>
      </c>
      <c r="E22" s="42"/>
      <c r="G22" s="14"/>
      <c r="H22" s="50">
        <f>'Building Detail'!H30</f>
        <v>410</v>
      </c>
      <c r="I22" s="14"/>
    </row>
    <row r="23" spans="1:9">
      <c r="B23" s="10" t="s">
        <v>17</v>
      </c>
      <c r="D23" s="1" t="s">
        <v>484</v>
      </c>
      <c r="E23" s="42"/>
      <c r="G23" s="14"/>
      <c r="H23" s="50">
        <f>'Building Detail'!H39</f>
        <v>117617</v>
      </c>
      <c r="I23" s="14"/>
    </row>
    <row r="24" spans="1:9">
      <c r="B24" s="10" t="s">
        <v>18</v>
      </c>
      <c r="D24" t="s">
        <v>25</v>
      </c>
      <c r="E24" s="42"/>
      <c r="G24" s="14"/>
      <c r="H24" s="50">
        <f>'Building Detail'!H48</f>
        <v>73149</v>
      </c>
      <c r="I24" s="14"/>
    </row>
    <row r="25" spans="1:9">
      <c r="B25" s="10" t="s">
        <v>20</v>
      </c>
      <c r="D25" t="s">
        <v>27</v>
      </c>
      <c r="E25" s="42"/>
      <c r="G25" s="14"/>
      <c r="H25" s="50">
        <f>'Building Detail'!H58</f>
        <v>60180</v>
      </c>
      <c r="I25" s="14"/>
    </row>
    <row r="26" spans="1:9">
      <c r="B26" s="10" t="s">
        <v>21</v>
      </c>
      <c r="D26" t="s">
        <v>28</v>
      </c>
      <c r="E26" s="42"/>
      <c r="G26" s="14"/>
      <c r="H26" s="50">
        <f>'Building Detail'!H79</f>
        <v>41085</v>
      </c>
      <c r="I26" s="14"/>
    </row>
    <row r="27" spans="1:9">
      <c r="B27" s="10" t="s">
        <v>22</v>
      </c>
      <c r="D27" t="s">
        <v>29</v>
      </c>
      <c r="E27" s="42"/>
      <c r="G27" s="14"/>
      <c r="H27" s="50">
        <f>'Building Detail'!H89</f>
        <v>15721</v>
      </c>
      <c r="I27" s="14"/>
    </row>
    <row r="28" spans="1:9">
      <c r="B28" s="10" t="s">
        <v>23</v>
      </c>
      <c r="D28" t="s">
        <v>79</v>
      </c>
      <c r="E28" s="42"/>
      <c r="G28" s="14"/>
      <c r="H28" s="50">
        <f>'Building Detail'!H98</f>
        <v>89423.7</v>
      </c>
      <c r="I28" s="14"/>
    </row>
    <row r="29" spans="1:9">
      <c r="B29" s="10" t="s">
        <v>24</v>
      </c>
      <c r="D29" t="s">
        <v>30</v>
      </c>
      <c r="E29" s="42"/>
      <c r="G29" s="14"/>
      <c r="H29" s="50">
        <f>'Building Detail'!H115</f>
        <v>185839.9</v>
      </c>
      <c r="I29" s="14"/>
    </row>
    <row r="30" spans="1:9">
      <c r="B30" s="9">
        <v>10000</v>
      </c>
      <c r="D30" t="s">
        <v>31</v>
      </c>
      <c r="E30" s="42"/>
      <c r="G30" s="14"/>
      <c r="H30" s="50">
        <f>'Building Detail'!H126</f>
        <v>18089</v>
      </c>
      <c r="I30" s="14"/>
    </row>
    <row r="31" spans="1:9">
      <c r="B31" s="9">
        <v>11000</v>
      </c>
      <c r="D31" t="s">
        <v>32</v>
      </c>
      <c r="E31" s="42"/>
      <c r="G31" s="14"/>
      <c r="H31" s="50">
        <f>'Building Detail'!H136</f>
        <v>1600</v>
      </c>
      <c r="I31" s="14"/>
    </row>
    <row r="32" spans="1:9">
      <c r="B32" s="9">
        <v>12000</v>
      </c>
      <c r="D32" t="s">
        <v>33</v>
      </c>
      <c r="E32" s="42"/>
      <c r="G32" s="14"/>
      <c r="H32" s="50">
        <f>'Building Detail'!H144</f>
        <v>16077.599999999999</v>
      </c>
      <c r="I32" s="14"/>
    </row>
    <row r="33" spans="2:9">
      <c r="B33" s="9">
        <v>14000</v>
      </c>
      <c r="D33" t="s">
        <v>35</v>
      </c>
      <c r="E33" s="42"/>
      <c r="G33" s="14"/>
      <c r="H33" s="50">
        <f>'Building Detail'!H147</f>
        <v>0</v>
      </c>
      <c r="I33" s="14"/>
    </row>
    <row r="34" spans="2:9">
      <c r="B34" s="9">
        <v>15000</v>
      </c>
      <c r="D34" t="s">
        <v>36</v>
      </c>
      <c r="E34" s="42"/>
      <c r="G34" s="14"/>
      <c r="H34" s="50">
        <f>'Building Detail'!H155</f>
        <v>131913</v>
      </c>
      <c r="I34" s="14"/>
    </row>
    <row r="35" spans="2:9">
      <c r="B35" s="9" t="str">
        <f>'Building Detail'!B162</f>
        <v>152000</v>
      </c>
      <c r="D35" t="str">
        <f>'Building Detail'!D162</f>
        <v>Plumbing</v>
      </c>
      <c r="E35" s="42"/>
      <c r="G35" s="14"/>
      <c r="H35" s="50">
        <f>'Building Detail'!H162</f>
        <v>0</v>
      </c>
      <c r="I35" s="14"/>
    </row>
    <row r="36" spans="2:9">
      <c r="B36" s="9">
        <v>16000</v>
      </c>
      <c r="D36" t="s">
        <v>37</v>
      </c>
      <c r="E36" s="42"/>
      <c r="G36" s="14"/>
      <c r="H36" s="50">
        <f>'Building Detail'!H174</f>
        <v>267820.79999999999</v>
      </c>
      <c r="I36" s="14"/>
    </row>
    <row r="37" spans="2:9" ht="14" thickBot="1">
      <c r="G37" s="14"/>
      <c r="H37" s="53"/>
      <c r="I37" s="14"/>
    </row>
    <row r="38" spans="2:9">
      <c r="G38" s="14"/>
      <c r="H38" s="50"/>
      <c r="I38" s="14"/>
    </row>
    <row r="39" spans="2:9">
      <c r="D39" s="2" t="s">
        <v>41</v>
      </c>
      <c r="G39" s="14"/>
      <c r="H39" s="50">
        <f>SUM(H21:H37)</f>
        <v>1018926</v>
      </c>
      <c r="I39" s="14"/>
    </row>
    <row r="40" spans="2:9">
      <c r="H40" s="50"/>
      <c r="I40" s="14"/>
    </row>
    <row r="41" spans="2:9">
      <c r="D41" t="s">
        <v>42</v>
      </c>
      <c r="E41" s="16" t="s">
        <v>5</v>
      </c>
      <c r="H41" s="50"/>
      <c r="I41" s="14"/>
    </row>
    <row r="42" spans="2:9">
      <c r="D42" t="s">
        <v>43</v>
      </c>
      <c r="E42" s="16" t="s">
        <v>5</v>
      </c>
      <c r="H42" s="50"/>
      <c r="I42" s="14"/>
    </row>
    <row r="43" spans="2:9">
      <c r="D43" t="s">
        <v>44</v>
      </c>
      <c r="E43" s="16"/>
      <c r="H43" s="50"/>
      <c r="I43" s="14"/>
    </row>
    <row r="44" spans="2:9">
      <c r="D44" t="s">
        <v>45</v>
      </c>
      <c r="E44" s="16"/>
      <c r="H44" s="50"/>
      <c r="I44" s="14"/>
    </row>
    <row r="45" spans="2:9">
      <c r="D45" t="s">
        <v>46</v>
      </c>
      <c r="E45" s="16"/>
      <c r="H45" s="50"/>
      <c r="I45" s="14"/>
    </row>
    <row r="46" spans="2:9">
      <c r="D46" t="s">
        <v>47</v>
      </c>
      <c r="E46" s="16"/>
      <c r="H46" s="50"/>
      <c r="I46" s="14"/>
    </row>
    <row r="47" spans="2:9" ht="14" thickBot="1">
      <c r="H47" s="53"/>
      <c r="I47" s="14"/>
    </row>
    <row r="48" spans="2:9">
      <c r="H48" s="50"/>
      <c r="I48" s="14"/>
    </row>
    <row r="49" spans="4:9">
      <c r="D49" s="2" t="s">
        <v>41</v>
      </c>
      <c r="H49" s="50">
        <f>SUM(H38:H47)</f>
        <v>1018926</v>
      </c>
      <c r="I49" s="14"/>
    </row>
    <row r="50" spans="4:9">
      <c r="H50" s="50"/>
      <c r="I50" s="14"/>
    </row>
    <row r="51" spans="4:9">
      <c r="D51" t="s">
        <v>48</v>
      </c>
      <c r="E51" s="16"/>
      <c r="H51" s="50"/>
      <c r="I51" s="14"/>
    </row>
    <row r="52" spans="4:9" ht="14" thickBot="1">
      <c r="H52" s="53"/>
      <c r="I52" s="14"/>
    </row>
    <row r="53" spans="4:9">
      <c r="H53" s="50"/>
      <c r="I53" s="14"/>
    </row>
    <row r="54" spans="4:9">
      <c r="D54" s="54" t="s">
        <v>52</v>
      </c>
      <c r="H54" s="50">
        <f>SUM(H48:H52)</f>
        <v>1018926</v>
      </c>
      <c r="I54" s="14"/>
    </row>
  </sheetData>
  <phoneticPr fontId="0" type="noConversion"/>
  <pageMargins left="0.75" right="0.75" top="1" bottom="1" header="0.5" footer="0.5"/>
  <pageSetup orientation="portrait"/>
  <headerFooter alignWithMargins="0">
    <oddHeader>&amp;L&amp;"Arial,Bold"Conceptual Estimate
BUILDING SUMMARY&amp;C&amp;"Californian FB,Bold"&amp;14&amp;UJL Pieretti Construction Co.&amp;R&amp;D</oddHeader>
    <oddFooter>&amp;C&amp;P of &amp;N</oddFooter>
  </headerFooter>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99"/>
  <sheetViews>
    <sheetView topLeftCell="A168" zoomScale="125" zoomScaleNormal="125" workbookViewId="0">
      <selection activeCell="H187" sqref="H187"/>
    </sheetView>
  </sheetViews>
  <sheetFormatPr baseColWidth="10" defaultColWidth="8.83203125" defaultRowHeight="14"/>
  <cols>
    <col min="1" max="1" width="1.6640625" customWidth="1"/>
    <col min="2" max="2" width="7.6640625" customWidth="1"/>
    <col min="3" max="3" width="1.6640625" customWidth="1"/>
    <col min="4" max="4" width="38.33203125" style="122" customWidth="1"/>
    <col min="5" max="5" width="9.83203125" style="133" customWidth="1"/>
    <col min="6" max="6" width="8.83203125" customWidth="1"/>
    <col min="7" max="7" width="14.5" customWidth="1"/>
    <col min="8" max="8" width="12.5" customWidth="1"/>
    <col min="9" max="9" width="12.6640625" bestFit="1" customWidth="1"/>
    <col min="10" max="10" width="80.1640625" style="169" customWidth="1"/>
    <col min="11" max="11" width="36.5" customWidth="1"/>
  </cols>
  <sheetData>
    <row r="1" spans="1:10">
      <c r="A1" s="66"/>
      <c r="B1" s="67"/>
      <c r="C1" s="68"/>
      <c r="D1" s="112"/>
      <c r="E1" s="132"/>
      <c r="F1" s="68"/>
      <c r="G1" s="68"/>
      <c r="H1" s="69"/>
      <c r="I1" s="68"/>
      <c r="J1" s="165"/>
    </row>
    <row r="2" spans="1:10">
      <c r="A2" s="71"/>
      <c r="B2" s="5"/>
      <c r="C2" s="1"/>
      <c r="D2" s="113"/>
      <c r="F2" s="1"/>
      <c r="G2" s="1"/>
      <c r="H2" s="72"/>
      <c r="I2" s="1"/>
      <c r="J2" s="164"/>
    </row>
    <row r="3" spans="1:10" ht="18">
      <c r="A3" s="71"/>
      <c r="B3" s="5"/>
      <c r="C3" s="1"/>
      <c r="D3" s="114" t="s">
        <v>506</v>
      </c>
      <c r="F3" s="1"/>
      <c r="G3" s="1"/>
      <c r="H3" s="72"/>
      <c r="I3" s="1"/>
      <c r="J3" s="164"/>
    </row>
    <row r="4" spans="1:10">
      <c r="A4" s="71"/>
      <c r="B4" s="5"/>
      <c r="C4" s="1"/>
      <c r="D4" s="113"/>
      <c r="F4" s="1"/>
      <c r="G4" s="1"/>
      <c r="H4" s="72"/>
      <c r="I4" s="1"/>
      <c r="J4" s="164"/>
    </row>
    <row r="5" spans="1:10">
      <c r="A5" s="71"/>
      <c r="B5" s="5"/>
      <c r="C5" s="1"/>
      <c r="D5" s="113"/>
      <c r="F5" s="1"/>
      <c r="G5" s="1"/>
      <c r="H5" s="72"/>
      <c r="I5" s="1"/>
      <c r="J5" s="164"/>
    </row>
    <row r="6" spans="1:10">
      <c r="A6" s="71"/>
      <c r="B6" s="5"/>
      <c r="C6" s="1"/>
      <c r="D6" s="113"/>
      <c r="F6" s="1"/>
      <c r="G6" s="1"/>
      <c r="H6" s="72"/>
      <c r="I6" s="1"/>
      <c r="J6" s="164"/>
    </row>
    <row r="7" spans="1:10">
      <c r="A7" s="71"/>
      <c r="B7" s="1" t="s">
        <v>0</v>
      </c>
      <c r="C7" s="1"/>
      <c r="D7" s="115" t="str">
        <f>'Systems Summary'!D7</f>
        <v>356 S Daniel Way, San Jose, CA 95128</v>
      </c>
      <c r="E7" s="133" t="s">
        <v>3</v>
      </c>
      <c r="F7" s="1"/>
      <c r="G7" s="1"/>
      <c r="H7" s="74" t="s">
        <v>471</v>
      </c>
      <c r="I7" s="1"/>
      <c r="J7" s="164"/>
    </row>
    <row r="8" spans="1:10">
      <c r="A8" s="71"/>
      <c r="B8" s="1" t="s">
        <v>2</v>
      </c>
      <c r="C8" s="1"/>
      <c r="D8" s="115" t="str">
        <f>'Systems Summary'!D8</f>
        <v>Close to Santana Row</v>
      </c>
      <c r="E8" s="133" t="s">
        <v>4</v>
      </c>
      <c r="F8" s="1"/>
      <c r="G8" s="1"/>
      <c r="H8" s="131" t="s">
        <v>555</v>
      </c>
      <c r="I8" s="1"/>
      <c r="J8" s="164"/>
    </row>
    <row r="9" spans="1:10">
      <c r="A9" s="71"/>
      <c r="B9" s="1"/>
      <c r="C9" s="1"/>
      <c r="D9" s="115"/>
      <c r="E9" s="133" t="s">
        <v>6</v>
      </c>
      <c r="F9" s="1"/>
      <c r="G9" s="1"/>
      <c r="H9" s="75" t="s">
        <v>473</v>
      </c>
      <c r="I9" s="1"/>
      <c r="J9" s="164"/>
    </row>
    <row r="10" spans="1:10">
      <c r="A10" s="71"/>
      <c r="B10" s="1"/>
      <c r="C10" s="1"/>
      <c r="D10" s="115" t="s">
        <v>487</v>
      </c>
      <c r="E10" s="133" t="s">
        <v>7</v>
      </c>
      <c r="F10" s="1"/>
      <c r="G10" s="1"/>
      <c r="H10" s="75">
        <v>1</v>
      </c>
      <c r="I10" s="1"/>
      <c r="J10" s="164"/>
    </row>
    <row r="11" spans="1:10">
      <c r="A11" s="71"/>
      <c r="B11" s="1"/>
      <c r="C11" s="1"/>
      <c r="D11" s="113"/>
      <c r="E11" s="133" t="s">
        <v>8</v>
      </c>
      <c r="F11" s="1"/>
      <c r="G11" s="1"/>
      <c r="H11" s="75" t="s">
        <v>473</v>
      </c>
      <c r="I11" s="1"/>
      <c r="J11" s="164"/>
    </row>
    <row r="12" spans="1:10">
      <c r="A12" s="71"/>
      <c r="B12" s="1" t="s">
        <v>1</v>
      </c>
      <c r="C12" s="1"/>
      <c r="D12" s="115" t="str">
        <f>'Systems Summary'!D12</f>
        <v>N/A</v>
      </c>
      <c r="E12" s="133" t="s">
        <v>57</v>
      </c>
      <c r="F12" s="1"/>
      <c r="G12" s="1"/>
      <c r="H12" s="75" t="s">
        <v>473</v>
      </c>
      <c r="I12" s="1"/>
      <c r="J12" s="164"/>
    </row>
    <row r="13" spans="1:10">
      <c r="A13" s="71"/>
      <c r="B13" t="s">
        <v>490</v>
      </c>
      <c r="C13" s="1"/>
      <c r="D13" s="115" t="str">
        <f>'Systems Summary'!D13</f>
        <v>Drawings by Architects Julio</v>
      </c>
      <c r="F13" s="1"/>
      <c r="G13" s="1"/>
      <c r="H13" s="75"/>
      <c r="I13" s="1"/>
      <c r="J13" s="164"/>
    </row>
    <row r="14" spans="1:10">
      <c r="A14" s="71"/>
      <c r="C14" s="1"/>
      <c r="D14" s="115"/>
      <c r="F14" s="1"/>
      <c r="G14" s="1"/>
      <c r="H14" s="75"/>
      <c r="I14" s="1"/>
      <c r="J14" s="164"/>
    </row>
    <row r="15" spans="1:10">
      <c r="A15" s="71"/>
      <c r="B15" s="1" t="s">
        <v>475</v>
      </c>
      <c r="C15" s="1"/>
      <c r="D15" s="115"/>
      <c r="E15" s="133" t="s">
        <v>308</v>
      </c>
      <c r="F15" s="1"/>
      <c r="G15" s="1"/>
      <c r="H15" s="75" t="s">
        <v>473</v>
      </c>
      <c r="I15" s="1" t="s">
        <v>58</v>
      </c>
      <c r="J15" s="164"/>
    </row>
    <row r="16" spans="1:10">
      <c r="A16" s="71"/>
      <c r="B16" s="1"/>
      <c r="C16" s="1"/>
      <c r="D16" s="113"/>
      <c r="E16" s="133" t="s">
        <v>474</v>
      </c>
      <c r="F16" s="1"/>
      <c r="G16" s="1"/>
      <c r="H16" s="75">
        <f>'Systems Summary'!I16</f>
        <v>8720</v>
      </c>
      <c r="I16" s="1" t="s">
        <v>58</v>
      </c>
      <c r="J16" s="164"/>
    </row>
    <row r="17" spans="1:11">
      <c r="A17" s="71"/>
      <c r="B17" s="1" t="s">
        <v>476</v>
      </c>
      <c r="C17" s="1"/>
      <c r="D17" s="143">
        <f>'Systems Summary'!D17</f>
        <v>44783</v>
      </c>
      <c r="E17" s="133" t="s">
        <v>327</v>
      </c>
      <c r="F17" s="1"/>
      <c r="G17" s="1"/>
      <c r="H17" s="75">
        <f>'Systems Summary'!I17</f>
        <v>8720</v>
      </c>
      <c r="I17" s="1" t="s">
        <v>58</v>
      </c>
      <c r="J17" s="164"/>
      <c r="K17" s="150" t="s">
        <v>560</v>
      </c>
    </row>
    <row r="18" spans="1:11">
      <c r="A18" s="71"/>
      <c r="B18" s="1"/>
      <c r="C18" s="1"/>
      <c r="D18" s="113"/>
      <c r="E18" s="133" t="s">
        <v>9</v>
      </c>
      <c r="H18" s="76" t="s">
        <v>473</v>
      </c>
      <c r="I18" t="s">
        <v>58</v>
      </c>
      <c r="J18" s="164"/>
    </row>
    <row r="19" spans="1:11" ht="28">
      <c r="A19" s="71"/>
      <c r="B19" t="s">
        <v>485</v>
      </c>
      <c r="C19" s="1"/>
      <c r="D19" s="65" t="s">
        <v>486</v>
      </c>
      <c r="E19" s="133" t="s">
        <v>189</v>
      </c>
      <c r="H19" s="76" t="s">
        <v>473</v>
      </c>
      <c r="I19" t="s">
        <v>58</v>
      </c>
      <c r="J19" s="164"/>
    </row>
    <row r="20" spans="1:11">
      <c r="A20" s="71"/>
      <c r="B20" s="5"/>
      <c r="C20" s="1"/>
      <c r="D20" s="65" t="s">
        <v>582</v>
      </c>
      <c r="E20" s="133" t="s">
        <v>307</v>
      </c>
      <c r="H20" s="76" t="s">
        <v>473</v>
      </c>
      <c r="I20" t="s">
        <v>58</v>
      </c>
      <c r="J20" s="164"/>
    </row>
    <row r="21" spans="1:11" ht="15" thickBot="1">
      <c r="A21" s="71"/>
      <c r="B21" s="8"/>
      <c r="C21" s="3"/>
      <c r="D21" s="116"/>
      <c r="E21" s="134"/>
      <c r="F21" s="3"/>
      <c r="G21" s="3"/>
      <c r="H21" s="11"/>
      <c r="I21" s="3"/>
      <c r="J21" s="166"/>
    </row>
    <row r="22" spans="1:11" ht="15">
      <c r="A22" s="71"/>
      <c r="B22" s="6"/>
      <c r="C22" s="1"/>
      <c r="D22" s="113"/>
      <c r="F22" s="1"/>
      <c r="G22" s="6"/>
      <c r="H22" s="77" t="s">
        <v>39</v>
      </c>
      <c r="I22" s="78" t="s">
        <v>15</v>
      </c>
      <c r="J22" s="167" t="s">
        <v>492</v>
      </c>
    </row>
    <row r="23" spans="1:11" ht="15" thickBot="1">
      <c r="A23" s="71"/>
      <c r="B23" s="7" t="s">
        <v>11</v>
      </c>
      <c r="C23" s="4"/>
      <c r="D23" s="117" t="s">
        <v>12</v>
      </c>
      <c r="E23" s="135" t="s">
        <v>492</v>
      </c>
      <c r="F23" s="7"/>
      <c r="G23" s="7"/>
      <c r="H23" s="13" t="s">
        <v>15</v>
      </c>
      <c r="I23" s="79" t="s">
        <v>40</v>
      </c>
      <c r="J23" s="168"/>
    </row>
    <row r="24" spans="1:11" ht="17" thickTop="1">
      <c r="A24" s="62"/>
      <c r="B24" s="92"/>
      <c r="C24" s="92"/>
      <c r="D24" s="107"/>
      <c r="E24" s="136"/>
      <c r="F24" s="92"/>
      <c r="G24" s="92"/>
      <c r="H24" s="92"/>
      <c r="I24" s="92"/>
      <c r="J24" s="164"/>
    </row>
    <row r="25" spans="1:11" ht="17">
      <c r="A25" s="62"/>
      <c r="B25" s="94" t="s">
        <v>16</v>
      </c>
      <c r="C25" s="92"/>
      <c r="D25" s="118" t="s">
        <v>223</v>
      </c>
      <c r="E25" s="137"/>
      <c r="F25" s="92"/>
      <c r="G25" s="96"/>
      <c r="H25" s="97"/>
      <c r="I25" s="96"/>
      <c r="J25" s="164"/>
    </row>
    <row r="26" spans="1:11" ht="17">
      <c r="A26" s="62"/>
      <c r="B26" s="98" t="s">
        <v>224</v>
      </c>
      <c r="C26" s="92"/>
      <c r="D26" s="107" t="s">
        <v>514</v>
      </c>
      <c r="E26" s="137">
        <v>0</v>
      </c>
      <c r="F26" s="92" t="s">
        <v>58</v>
      </c>
      <c r="G26" s="96">
        <v>3</v>
      </c>
      <c r="H26" s="97">
        <f>G26*E26*38%</f>
        <v>0</v>
      </c>
      <c r="I26" s="96"/>
      <c r="J26" s="164" t="s">
        <v>565</v>
      </c>
    </row>
    <row r="27" spans="1:11" ht="17">
      <c r="A27" s="62"/>
      <c r="B27" s="98" t="s">
        <v>229</v>
      </c>
      <c r="C27" s="92"/>
      <c r="D27" s="107" t="s">
        <v>583</v>
      </c>
      <c r="E27" s="137">
        <v>1</v>
      </c>
      <c r="F27" s="92" t="s">
        <v>58</v>
      </c>
      <c r="G27" s="96">
        <v>410</v>
      </c>
      <c r="H27" s="97">
        <f>G27*E27</f>
        <v>410</v>
      </c>
      <c r="I27" s="96"/>
      <c r="J27" s="164" t="s">
        <v>565</v>
      </c>
    </row>
    <row r="28" spans="1:11" ht="16">
      <c r="A28" s="62"/>
      <c r="B28" s="92"/>
      <c r="C28" s="92"/>
      <c r="D28" s="107"/>
      <c r="E28" s="137"/>
      <c r="F28" s="92"/>
      <c r="G28" s="96"/>
      <c r="H28" s="99"/>
      <c r="I28" s="96"/>
      <c r="J28" s="164"/>
    </row>
    <row r="29" spans="1:11" ht="16">
      <c r="A29" s="62"/>
      <c r="B29" s="92"/>
      <c r="C29" s="92"/>
      <c r="D29" s="107"/>
      <c r="E29" s="137"/>
      <c r="F29" s="92"/>
      <c r="G29" s="96"/>
      <c r="H29" s="97"/>
      <c r="I29" s="96"/>
      <c r="J29" s="164"/>
    </row>
    <row r="30" spans="1:11" ht="17">
      <c r="A30" s="62"/>
      <c r="B30" s="92"/>
      <c r="C30" s="92"/>
      <c r="D30" s="118" t="s">
        <v>236</v>
      </c>
      <c r="E30" s="137"/>
      <c r="F30" s="92"/>
      <c r="G30" s="96"/>
      <c r="H30" s="97">
        <f>SUM(H25:H28)</f>
        <v>410</v>
      </c>
      <c r="I30" s="96">
        <f>H30/H17</f>
        <v>4.7018348623853214E-2</v>
      </c>
      <c r="J30" s="164"/>
    </row>
    <row r="31" spans="1:11" ht="16">
      <c r="A31" s="62"/>
      <c r="B31" s="92"/>
      <c r="C31" s="92"/>
      <c r="D31" s="107"/>
      <c r="E31" s="137"/>
      <c r="F31" s="92"/>
      <c r="G31" s="96"/>
      <c r="H31" s="97"/>
      <c r="I31" s="96"/>
      <c r="J31" s="164"/>
    </row>
    <row r="32" spans="1:11" ht="16">
      <c r="A32" s="62"/>
      <c r="B32" s="92"/>
      <c r="C32" s="92"/>
      <c r="D32" s="107"/>
      <c r="E32" s="137"/>
      <c r="F32" s="92"/>
      <c r="G32" s="96"/>
      <c r="H32" s="97"/>
      <c r="I32" s="96"/>
      <c r="J32" s="164"/>
    </row>
    <row r="33" spans="1:12" ht="17">
      <c r="A33" s="62"/>
      <c r="B33" s="94" t="s">
        <v>17</v>
      </c>
      <c r="C33" s="95"/>
      <c r="D33" s="118" t="s">
        <v>60</v>
      </c>
      <c r="E33" s="137"/>
      <c r="F33" s="92"/>
      <c r="G33" s="96"/>
      <c r="H33" s="97"/>
      <c r="I33" s="96"/>
      <c r="J33" s="164"/>
    </row>
    <row r="34" spans="1:12" ht="49" customHeight="1">
      <c r="A34" s="62"/>
      <c r="B34" s="98" t="s">
        <v>96</v>
      </c>
      <c r="C34" s="92"/>
      <c r="D34" s="107" t="s">
        <v>97</v>
      </c>
      <c r="E34" s="137">
        <v>1</v>
      </c>
      <c r="F34" s="92" t="s">
        <v>94</v>
      </c>
      <c r="G34" s="96">
        <v>83776</v>
      </c>
      <c r="H34" s="97">
        <f>E34*G34</f>
        <v>83776</v>
      </c>
      <c r="I34" s="96"/>
      <c r="J34" s="185" t="s">
        <v>635</v>
      </c>
      <c r="K34" s="185"/>
      <c r="L34" s="185"/>
    </row>
    <row r="35" spans="1:12" ht="17">
      <c r="A35" s="62"/>
      <c r="B35" s="98" t="s">
        <v>98</v>
      </c>
      <c r="C35" s="92"/>
      <c r="D35" s="107" t="s">
        <v>551</v>
      </c>
      <c r="E35" s="137">
        <v>1</v>
      </c>
      <c r="F35" s="92" t="s">
        <v>58</v>
      </c>
      <c r="G35" s="96">
        <v>24970</v>
      </c>
      <c r="H35" s="97">
        <f>E35*G35</f>
        <v>24970</v>
      </c>
      <c r="I35" s="96"/>
      <c r="J35" s="164" t="s">
        <v>603</v>
      </c>
    </row>
    <row r="36" spans="1:12" ht="17">
      <c r="A36" s="62"/>
      <c r="B36" s="98" t="s">
        <v>544</v>
      </c>
      <c r="C36" s="92"/>
      <c r="D36" s="107" t="s">
        <v>545</v>
      </c>
      <c r="E36" s="137">
        <v>0</v>
      </c>
      <c r="F36" s="92" t="s">
        <v>94</v>
      </c>
      <c r="G36" s="96">
        <v>5400</v>
      </c>
      <c r="H36" s="97">
        <f>E36*G36</f>
        <v>0</v>
      </c>
      <c r="I36" s="96"/>
      <c r="J36" s="164"/>
    </row>
    <row r="37" spans="1:12" ht="35" customHeight="1">
      <c r="A37" s="62"/>
      <c r="B37" s="98" t="s">
        <v>573</v>
      </c>
      <c r="C37" s="92"/>
      <c r="D37" s="107" t="s">
        <v>390</v>
      </c>
      <c r="E37" s="137">
        <v>1</v>
      </c>
      <c r="F37" s="92" t="s">
        <v>94</v>
      </c>
      <c r="G37" s="96">
        <v>8871</v>
      </c>
      <c r="H37" s="97">
        <f>E37*G37</f>
        <v>8871</v>
      </c>
      <c r="I37" s="96"/>
      <c r="J37" s="260" t="s">
        <v>645</v>
      </c>
      <c r="K37" s="260"/>
      <c r="L37" s="260"/>
    </row>
    <row r="38" spans="1:12" ht="16">
      <c r="A38" s="62"/>
      <c r="B38" s="100"/>
      <c r="C38" s="92"/>
      <c r="D38" s="107"/>
      <c r="E38" s="137"/>
      <c r="F38" s="92"/>
      <c r="G38" s="96"/>
      <c r="H38" s="97"/>
      <c r="I38" s="96"/>
      <c r="J38" s="164"/>
    </row>
    <row r="39" spans="1:12" ht="39" customHeight="1">
      <c r="A39" s="62"/>
      <c r="B39" s="100"/>
      <c r="C39" s="92"/>
      <c r="D39" s="118" t="s">
        <v>73</v>
      </c>
      <c r="E39" s="137"/>
      <c r="F39" s="92"/>
      <c r="G39" s="96"/>
      <c r="H39" s="97">
        <f>SUM(H33:H37)</f>
        <v>117617</v>
      </c>
      <c r="I39" s="96">
        <f>H39/H17</f>
        <v>13.488188073394495</v>
      </c>
      <c r="J39" s="164"/>
      <c r="K39" s="93"/>
    </row>
    <row r="40" spans="1:12" ht="16">
      <c r="A40" s="62"/>
      <c r="B40" s="100"/>
      <c r="C40" s="92"/>
      <c r="D40" s="118"/>
      <c r="E40" s="137"/>
      <c r="F40" s="92"/>
      <c r="G40" s="96"/>
      <c r="H40" s="97"/>
      <c r="I40" s="96"/>
      <c r="J40" s="164"/>
      <c r="K40" s="93"/>
    </row>
    <row r="41" spans="1:12" ht="16">
      <c r="A41" s="62"/>
      <c r="B41" s="92"/>
      <c r="C41" s="92"/>
      <c r="D41" s="107"/>
      <c r="E41" s="137"/>
      <c r="F41" s="92"/>
      <c r="G41" s="96"/>
      <c r="H41" s="97"/>
      <c r="I41" s="96"/>
      <c r="J41" s="164"/>
    </row>
    <row r="42" spans="1:12" ht="17">
      <c r="A42" s="62"/>
      <c r="B42" s="94" t="s">
        <v>18</v>
      </c>
      <c r="C42" s="95"/>
      <c r="D42" s="118" t="s">
        <v>623</v>
      </c>
      <c r="E42" s="137"/>
      <c r="F42" s="92"/>
      <c r="G42" s="96"/>
      <c r="H42" s="97"/>
      <c r="I42" s="96"/>
      <c r="J42" s="164"/>
    </row>
    <row r="43" spans="1:12" ht="17">
      <c r="A43" s="62"/>
      <c r="B43" s="98" t="s">
        <v>465</v>
      </c>
      <c r="C43" s="92"/>
      <c r="D43" s="107" t="s">
        <v>625</v>
      </c>
      <c r="E43" s="137">
        <v>1</v>
      </c>
      <c r="F43" s="92" t="s">
        <v>94</v>
      </c>
      <c r="G43" s="96">
        <v>11710</v>
      </c>
      <c r="H43" s="97">
        <f>E43*G43</f>
        <v>11710</v>
      </c>
      <c r="I43" s="96"/>
      <c r="J43" s="164" t="s">
        <v>626</v>
      </c>
    </row>
    <row r="44" spans="1:12" ht="17">
      <c r="A44" s="62"/>
      <c r="B44" s="98" t="s">
        <v>523</v>
      </c>
      <c r="C44" s="92"/>
      <c r="D44" s="107" t="s">
        <v>624</v>
      </c>
      <c r="E44" s="137">
        <v>1</v>
      </c>
      <c r="F44" s="92" t="s">
        <v>94</v>
      </c>
      <c r="G44" s="96">
        <v>18779</v>
      </c>
      <c r="H44" s="97">
        <f>E44*G44</f>
        <v>18779</v>
      </c>
      <c r="I44" s="96"/>
      <c r="J44" s="164" t="s">
        <v>646</v>
      </c>
    </row>
    <row r="45" spans="1:12" ht="31">
      <c r="A45" s="62"/>
      <c r="B45" s="98" t="s">
        <v>536</v>
      </c>
      <c r="C45" s="92"/>
      <c r="D45" s="107" t="s">
        <v>604</v>
      </c>
      <c r="E45" s="137">
        <v>1</v>
      </c>
      <c r="F45" s="92" t="s">
        <v>94</v>
      </c>
      <c r="G45" s="96">
        <v>42660</v>
      </c>
      <c r="H45" s="144">
        <f>E45*G45</f>
        <v>42660</v>
      </c>
      <c r="I45" s="96"/>
      <c r="J45" s="170" t="s">
        <v>605</v>
      </c>
      <c r="K45" s="150"/>
    </row>
    <row r="46" spans="1:12" ht="17">
      <c r="A46" s="62"/>
      <c r="B46" s="98" t="s">
        <v>553</v>
      </c>
      <c r="C46" s="92"/>
      <c r="D46" s="107" t="s">
        <v>554</v>
      </c>
      <c r="E46" s="137">
        <v>0</v>
      </c>
      <c r="F46" s="92" t="s">
        <v>94</v>
      </c>
      <c r="G46" s="96">
        <v>12800</v>
      </c>
      <c r="H46" s="97">
        <f>E46*G46</f>
        <v>0</v>
      </c>
      <c r="I46" s="96"/>
      <c r="J46" s="164"/>
    </row>
    <row r="47" spans="1:12" ht="16">
      <c r="A47" s="62"/>
      <c r="B47" s="98"/>
      <c r="C47" s="92"/>
      <c r="D47" s="107"/>
      <c r="E47" s="137"/>
      <c r="F47" s="92"/>
      <c r="G47" s="96"/>
      <c r="H47" s="97"/>
      <c r="I47" s="96"/>
      <c r="J47" s="164"/>
    </row>
    <row r="48" spans="1:12" ht="17">
      <c r="A48" s="62"/>
      <c r="B48" s="100"/>
      <c r="C48" s="92"/>
      <c r="D48" s="118" t="s">
        <v>74</v>
      </c>
      <c r="E48" s="137"/>
      <c r="F48" s="92"/>
      <c r="G48" s="96"/>
      <c r="H48" s="97">
        <f>SUM(H42:H46)</f>
        <v>73149</v>
      </c>
      <c r="I48" s="96">
        <f>H48/H17</f>
        <v>8.3886467889908261</v>
      </c>
      <c r="J48" s="164"/>
    </row>
    <row r="49" spans="1:12" ht="16">
      <c r="A49" s="62"/>
      <c r="B49" s="100"/>
      <c r="C49" s="92"/>
      <c r="D49" s="118"/>
      <c r="E49" s="137"/>
      <c r="F49" s="92"/>
      <c r="G49" s="96"/>
      <c r="H49" s="97"/>
      <c r="I49" s="96"/>
      <c r="J49" s="164"/>
    </row>
    <row r="50" spans="1:12" ht="17">
      <c r="A50" s="62"/>
      <c r="B50" s="94" t="s">
        <v>20</v>
      </c>
      <c r="C50" s="95"/>
      <c r="D50" s="118" t="s">
        <v>571</v>
      </c>
      <c r="E50" s="137"/>
      <c r="F50" s="92"/>
      <c r="G50" s="96"/>
      <c r="H50" s="97"/>
      <c r="I50" s="96"/>
      <c r="J50" s="164"/>
    </row>
    <row r="51" spans="1:12" ht="17">
      <c r="A51" s="62"/>
      <c r="B51" s="98" t="s">
        <v>197</v>
      </c>
      <c r="C51" s="92"/>
      <c r="D51" s="107" t="s">
        <v>497</v>
      </c>
      <c r="E51" s="137">
        <v>0</v>
      </c>
      <c r="F51" s="92" t="s">
        <v>94</v>
      </c>
      <c r="G51" s="96">
        <v>5500</v>
      </c>
      <c r="H51" s="97">
        <f t="shared" ref="H51:H56" si="0">E51*G51</f>
        <v>0</v>
      </c>
      <c r="I51" s="96"/>
      <c r="J51" s="164" t="s">
        <v>565</v>
      </c>
      <c r="K51" s="1"/>
    </row>
    <row r="52" spans="1:12" ht="17">
      <c r="A52" s="62"/>
      <c r="B52" s="98" t="s">
        <v>198</v>
      </c>
      <c r="C52" s="92"/>
      <c r="D52" s="107" t="s">
        <v>199</v>
      </c>
      <c r="E52" s="137">
        <v>1</v>
      </c>
      <c r="F52" s="92" t="s">
        <v>200</v>
      </c>
      <c r="G52" s="96">
        <v>19334</v>
      </c>
      <c r="H52" s="97">
        <f t="shared" si="0"/>
        <v>19334</v>
      </c>
      <c r="I52" s="96"/>
      <c r="J52" s="164" t="s">
        <v>636</v>
      </c>
    </row>
    <row r="53" spans="1:12" ht="17">
      <c r="A53" s="62"/>
      <c r="B53" s="98" t="s">
        <v>532</v>
      </c>
      <c r="C53" s="92"/>
      <c r="D53" s="107" t="s">
        <v>533</v>
      </c>
      <c r="E53" s="137">
        <v>1</v>
      </c>
      <c r="F53" s="92" t="s">
        <v>94</v>
      </c>
      <c r="G53" s="96">
        <v>29445</v>
      </c>
      <c r="H53" s="97">
        <f t="shared" si="0"/>
        <v>29445</v>
      </c>
      <c r="I53" s="96"/>
      <c r="J53" s="164" t="s">
        <v>638</v>
      </c>
    </row>
    <row r="54" spans="1:12" ht="17">
      <c r="A54" s="62"/>
      <c r="B54" s="98" t="s">
        <v>365</v>
      </c>
      <c r="C54" s="92"/>
      <c r="D54" s="107" t="s">
        <v>534</v>
      </c>
      <c r="E54" s="137">
        <v>0</v>
      </c>
      <c r="F54" s="92" t="s">
        <v>94</v>
      </c>
      <c r="G54" s="96">
        <v>3200</v>
      </c>
      <c r="H54" s="97">
        <f t="shared" si="0"/>
        <v>0</v>
      </c>
      <c r="I54" s="96"/>
      <c r="J54" s="164" t="s">
        <v>576</v>
      </c>
      <c r="K54" s="1"/>
    </row>
    <row r="55" spans="1:12" ht="17">
      <c r="A55" s="62"/>
      <c r="B55" s="98" t="s">
        <v>541</v>
      </c>
      <c r="C55" s="92"/>
      <c r="D55" s="107" t="s">
        <v>542</v>
      </c>
      <c r="E55" s="137">
        <v>1</v>
      </c>
      <c r="F55" s="92" t="s">
        <v>94</v>
      </c>
      <c r="G55" s="96">
        <v>3271</v>
      </c>
      <c r="H55" s="97">
        <f t="shared" si="0"/>
        <v>3271</v>
      </c>
      <c r="I55" s="96"/>
      <c r="J55" s="164" t="s">
        <v>606</v>
      </c>
      <c r="K55" s="1"/>
    </row>
    <row r="56" spans="1:12" ht="17">
      <c r="A56" s="62"/>
      <c r="B56" s="98" t="s">
        <v>366</v>
      </c>
      <c r="C56" s="92"/>
      <c r="D56" s="107" t="s">
        <v>572</v>
      </c>
      <c r="E56" s="137">
        <v>3</v>
      </c>
      <c r="F56" s="92" t="s">
        <v>120</v>
      </c>
      <c r="G56" s="96">
        <v>2710</v>
      </c>
      <c r="H56" s="97">
        <f t="shared" si="0"/>
        <v>8130</v>
      </c>
      <c r="I56" s="96"/>
      <c r="J56" s="260" t="s">
        <v>637</v>
      </c>
      <c r="K56" s="260"/>
      <c r="L56" s="260"/>
    </row>
    <row r="57" spans="1:12" ht="16">
      <c r="A57" s="62"/>
      <c r="B57" s="98"/>
      <c r="C57" s="92"/>
      <c r="D57" s="107"/>
      <c r="E57" s="137"/>
      <c r="F57" s="92"/>
      <c r="G57" s="96"/>
      <c r="H57" s="97"/>
      <c r="I57" s="96"/>
      <c r="J57" s="164"/>
    </row>
    <row r="58" spans="1:12" ht="17">
      <c r="A58" s="62"/>
      <c r="B58" s="100"/>
      <c r="C58" s="92"/>
      <c r="D58" s="118" t="s">
        <v>76</v>
      </c>
      <c r="E58" s="137"/>
      <c r="F58" s="92"/>
      <c r="G58" s="96"/>
      <c r="H58" s="97">
        <f>SUM(H51:H56)</f>
        <v>60180</v>
      </c>
      <c r="I58" s="96">
        <f>H58/H17</f>
        <v>6.9013761467889907</v>
      </c>
      <c r="J58" s="164"/>
    </row>
    <row r="59" spans="1:12" ht="16">
      <c r="A59" s="62"/>
      <c r="B59" s="100"/>
      <c r="C59" s="92"/>
      <c r="D59" s="118"/>
      <c r="E59" s="137"/>
      <c r="F59" s="92"/>
      <c r="G59" s="96"/>
      <c r="H59" s="97"/>
      <c r="I59" s="96"/>
      <c r="J59" s="164"/>
    </row>
    <row r="60" spans="1:12" ht="17">
      <c r="A60" s="62"/>
      <c r="B60" s="94" t="s">
        <v>649</v>
      </c>
      <c r="C60" s="95"/>
      <c r="D60" s="118" t="s">
        <v>538</v>
      </c>
      <c r="E60" s="137"/>
      <c r="F60" s="92"/>
      <c r="G60" s="96"/>
      <c r="H60" s="97"/>
      <c r="I60" s="96"/>
      <c r="J60" s="164"/>
    </row>
    <row r="61" spans="1:12" ht="16" customHeight="1">
      <c r="A61" s="62"/>
      <c r="B61" s="98" t="s">
        <v>539</v>
      </c>
      <c r="C61" s="92"/>
      <c r="D61" s="107" t="s">
        <v>498</v>
      </c>
      <c r="E61" s="137">
        <v>1</v>
      </c>
      <c r="F61" s="92" t="s">
        <v>94</v>
      </c>
      <c r="G61" s="96">
        <v>10710</v>
      </c>
      <c r="H61" s="97">
        <f>E61*G61</f>
        <v>10710</v>
      </c>
      <c r="I61" s="96"/>
      <c r="J61" s="260" t="s">
        <v>607</v>
      </c>
      <c r="K61" s="260"/>
      <c r="L61" s="260"/>
    </row>
    <row r="62" spans="1:12" ht="17">
      <c r="A62" s="62"/>
      <c r="B62" s="98" t="s">
        <v>539</v>
      </c>
      <c r="C62" s="92"/>
      <c r="D62" s="107" t="s">
        <v>540</v>
      </c>
      <c r="E62" s="137"/>
      <c r="F62" s="92" t="s">
        <v>200</v>
      </c>
      <c r="G62" s="96"/>
      <c r="H62" s="97">
        <f>E62*G62</f>
        <v>0</v>
      </c>
      <c r="I62" s="96"/>
      <c r="J62" s="164" t="s">
        <v>615</v>
      </c>
    </row>
    <row r="63" spans="1:12" ht="16">
      <c r="A63" s="62"/>
      <c r="B63" s="98"/>
      <c r="C63" s="92"/>
      <c r="D63" s="107"/>
      <c r="E63" s="137"/>
      <c r="F63" s="92" t="s">
        <v>200</v>
      </c>
      <c r="G63" s="96"/>
      <c r="H63" s="97">
        <f>E63*G63</f>
        <v>0</v>
      </c>
      <c r="I63" s="96"/>
      <c r="J63" s="164"/>
    </row>
    <row r="64" spans="1:12" ht="16">
      <c r="A64" s="62"/>
      <c r="B64" s="98"/>
      <c r="C64" s="92"/>
      <c r="D64" s="107"/>
      <c r="E64" s="137"/>
      <c r="F64" s="92"/>
      <c r="G64" s="96"/>
      <c r="H64" s="99"/>
      <c r="I64" s="96"/>
      <c r="J64" s="164"/>
    </row>
    <row r="65" spans="1:12" ht="16">
      <c r="A65" s="62"/>
      <c r="B65" s="100"/>
      <c r="C65" s="92"/>
      <c r="D65" s="107"/>
      <c r="E65" s="137"/>
      <c r="F65" s="92"/>
      <c r="G65" s="96"/>
      <c r="H65" s="97"/>
      <c r="I65" s="96"/>
      <c r="J65" s="164"/>
    </row>
    <row r="66" spans="1:12" ht="17">
      <c r="A66" s="62"/>
      <c r="B66" s="100"/>
      <c r="C66" s="92"/>
      <c r="D66" s="118" t="s">
        <v>543</v>
      </c>
      <c r="E66" s="137"/>
      <c r="F66" s="92"/>
      <c r="G66" s="96"/>
      <c r="H66" s="97">
        <f>SUM(H61:H64)</f>
        <v>10710</v>
      </c>
      <c r="I66" s="96">
        <f>H66/H17</f>
        <v>1.2282110091743119</v>
      </c>
      <c r="J66" s="164"/>
    </row>
    <row r="67" spans="1:12" ht="16">
      <c r="A67" s="62"/>
      <c r="B67" s="92"/>
      <c r="C67" s="92"/>
      <c r="D67" s="107"/>
      <c r="E67" s="137"/>
      <c r="F67" s="92"/>
      <c r="G67" s="96"/>
      <c r="H67" s="97"/>
      <c r="I67" s="96"/>
      <c r="J67" s="164"/>
    </row>
    <row r="68" spans="1:12" ht="17">
      <c r="A68" s="62"/>
      <c r="B68" s="94" t="s">
        <v>21</v>
      </c>
      <c r="C68" s="95"/>
      <c r="D68" s="118" t="s">
        <v>63</v>
      </c>
      <c r="E68" s="137"/>
      <c r="F68" s="92"/>
      <c r="G68" s="96"/>
      <c r="H68" s="97"/>
      <c r="I68" s="96"/>
      <c r="J68" s="164"/>
    </row>
    <row r="69" spans="1:12" ht="17">
      <c r="A69" s="62"/>
      <c r="B69" s="98" t="s">
        <v>190</v>
      </c>
      <c r="C69" s="92"/>
      <c r="D69" s="107" t="s">
        <v>370</v>
      </c>
      <c r="E69" s="137">
        <v>1</v>
      </c>
      <c r="F69" s="92" t="s">
        <v>94</v>
      </c>
      <c r="G69" s="96">
        <v>28790</v>
      </c>
      <c r="H69" s="97">
        <f t="shared" ref="H69:H75" si="1">E69*G69</f>
        <v>28790</v>
      </c>
      <c r="I69" s="96"/>
      <c r="J69" s="164" t="s">
        <v>595</v>
      </c>
    </row>
    <row r="70" spans="1:12" ht="34" customHeight="1">
      <c r="A70" s="62"/>
      <c r="B70" s="98" t="s">
        <v>467</v>
      </c>
      <c r="C70" s="92"/>
      <c r="D70" s="107" t="s">
        <v>373</v>
      </c>
      <c r="E70" s="137">
        <v>1</v>
      </c>
      <c r="F70" s="92" t="s">
        <v>94</v>
      </c>
      <c r="G70" s="96">
        <v>7908</v>
      </c>
      <c r="H70" s="97">
        <f t="shared" si="1"/>
        <v>7908</v>
      </c>
      <c r="I70" s="96"/>
      <c r="J70" s="164" t="s">
        <v>631</v>
      </c>
    </row>
    <row r="71" spans="1:12" ht="32" customHeight="1">
      <c r="A71" s="62"/>
      <c r="B71" s="98" t="s">
        <v>371</v>
      </c>
      <c r="C71" s="92"/>
      <c r="D71" s="107" t="s">
        <v>587</v>
      </c>
      <c r="E71" s="137">
        <v>0</v>
      </c>
      <c r="F71" s="92" t="s">
        <v>120</v>
      </c>
      <c r="G71" s="96">
        <v>30570</v>
      </c>
      <c r="H71" s="97">
        <f>E71*G71</f>
        <v>0</v>
      </c>
      <c r="I71" s="96"/>
      <c r="J71" s="164" t="s">
        <v>594</v>
      </c>
    </row>
    <row r="72" spans="1:12" ht="34">
      <c r="A72" s="62"/>
      <c r="B72" s="98" t="s">
        <v>372</v>
      </c>
      <c r="C72" s="92"/>
      <c r="D72" s="107" t="s">
        <v>597</v>
      </c>
      <c r="E72" s="137">
        <v>0</v>
      </c>
      <c r="F72" s="92" t="s">
        <v>94</v>
      </c>
      <c r="G72" s="96">
        <v>5412</v>
      </c>
      <c r="H72" s="97">
        <f t="shared" si="1"/>
        <v>0</v>
      </c>
      <c r="I72" s="96"/>
      <c r="J72" s="164" t="s">
        <v>598</v>
      </c>
    </row>
    <row r="73" spans="1:12" ht="17">
      <c r="A73" s="62"/>
      <c r="B73" s="98" t="s">
        <v>374</v>
      </c>
      <c r="C73" s="92"/>
      <c r="D73" s="107" t="s">
        <v>590</v>
      </c>
      <c r="E73" s="137">
        <v>0</v>
      </c>
      <c r="F73" s="92" t="s">
        <v>14</v>
      </c>
      <c r="G73" s="96">
        <v>8200</v>
      </c>
      <c r="H73" s="97">
        <f t="shared" si="1"/>
        <v>0</v>
      </c>
      <c r="I73" s="96"/>
      <c r="J73" s="164" t="s">
        <v>591</v>
      </c>
      <c r="K73" s="1"/>
    </row>
    <row r="74" spans="1:12" ht="17">
      <c r="A74" s="62"/>
      <c r="B74" s="98" t="s">
        <v>375</v>
      </c>
      <c r="C74" s="92"/>
      <c r="D74" s="107" t="s">
        <v>581</v>
      </c>
      <c r="E74" s="137">
        <v>0</v>
      </c>
      <c r="F74" s="92" t="s">
        <v>94</v>
      </c>
      <c r="G74" s="96">
        <v>4900</v>
      </c>
      <c r="H74" s="97">
        <f>E74*G74</f>
        <v>0</v>
      </c>
      <c r="I74" s="96"/>
      <c r="J74" s="164" t="s">
        <v>565</v>
      </c>
    </row>
    <row r="75" spans="1:12" ht="17">
      <c r="A75" s="62"/>
      <c r="B75" s="98" t="s">
        <v>377</v>
      </c>
      <c r="C75" s="92"/>
      <c r="D75" s="107" t="s">
        <v>592</v>
      </c>
      <c r="E75" s="137">
        <v>0</v>
      </c>
      <c r="F75" s="92" t="s">
        <v>120</v>
      </c>
      <c r="G75" s="96">
        <v>7400</v>
      </c>
      <c r="H75" s="97">
        <f t="shared" si="1"/>
        <v>0</v>
      </c>
      <c r="I75" s="96"/>
      <c r="J75" s="164" t="s">
        <v>565</v>
      </c>
    </row>
    <row r="76" spans="1:12" ht="17">
      <c r="A76" s="62"/>
      <c r="B76" s="98" t="s">
        <v>503</v>
      </c>
      <c r="C76" s="92"/>
      <c r="D76" s="107" t="s">
        <v>556</v>
      </c>
      <c r="E76" s="137">
        <v>1</v>
      </c>
      <c r="F76" s="92" t="s">
        <v>94</v>
      </c>
      <c r="G76" s="96">
        <v>4387</v>
      </c>
      <c r="H76" s="97">
        <f>E76*G76</f>
        <v>4387</v>
      </c>
      <c r="I76" s="96"/>
      <c r="J76" s="260" t="s">
        <v>577</v>
      </c>
      <c r="K76" s="260"/>
      <c r="L76" s="260"/>
    </row>
    <row r="77" spans="1:12" ht="16">
      <c r="A77" s="62"/>
      <c r="B77" s="100"/>
      <c r="C77" s="92"/>
      <c r="D77" s="107"/>
      <c r="E77" s="137"/>
      <c r="F77" s="92"/>
      <c r="G77" s="96"/>
      <c r="H77" s="99"/>
      <c r="I77" s="96"/>
      <c r="J77" s="164"/>
    </row>
    <row r="78" spans="1:12" ht="16">
      <c r="A78" s="62"/>
      <c r="B78" s="100"/>
      <c r="C78" s="92"/>
      <c r="D78" s="107"/>
      <c r="E78" s="137"/>
      <c r="F78" s="92"/>
      <c r="G78" s="96"/>
      <c r="H78" s="97"/>
      <c r="I78" s="96"/>
      <c r="J78" s="164"/>
    </row>
    <row r="79" spans="1:12" ht="17">
      <c r="A79" s="62"/>
      <c r="B79" s="100"/>
      <c r="C79" s="92"/>
      <c r="D79" s="118" t="s">
        <v>77</v>
      </c>
      <c r="E79" s="137"/>
      <c r="F79" s="92"/>
      <c r="G79" s="96"/>
      <c r="H79" s="97">
        <f>SUM(H69:H77)</f>
        <v>41085</v>
      </c>
      <c r="I79" s="96">
        <f>H79/H17</f>
        <v>4.7115825688073398</v>
      </c>
      <c r="J79" s="164"/>
    </row>
    <row r="80" spans="1:12" ht="16">
      <c r="A80" s="62"/>
      <c r="B80" s="100"/>
      <c r="C80" s="92"/>
      <c r="D80" s="118"/>
      <c r="E80" s="137"/>
      <c r="F80" s="92"/>
      <c r="G80" s="96"/>
      <c r="H80" s="97"/>
      <c r="I80" s="96"/>
    </row>
    <row r="81" spans="1:11" ht="16">
      <c r="A81" s="62"/>
      <c r="B81" s="92"/>
      <c r="C81" s="92"/>
      <c r="D81" s="107"/>
      <c r="E81" s="137"/>
      <c r="F81" s="92"/>
      <c r="G81" s="96"/>
      <c r="H81" s="97"/>
      <c r="I81" s="96"/>
      <c r="J81" s="164"/>
    </row>
    <row r="82" spans="1:11" ht="17">
      <c r="A82" s="62"/>
      <c r="B82" s="94" t="s">
        <v>22</v>
      </c>
      <c r="C82" s="95"/>
      <c r="D82" s="118" t="s">
        <v>64</v>
      </c>
      <c r="E82" s="137"/>
      <c r="F82" s="92"/>
      <c r="G82" s="96"/>
      <c r="H82" s="97"/>
      <c r="I82" s="96"/>
      <c r="J82" s="164"/>
    </row>
    <row r="83" spans="1:11" ht="17">
      <c r="A83" s="62"/>
      <c r="B83" s="98" t="s">
        <v>381</v>
      </c>
      <c r="C83" s="92"/>
      <c r="D83" s="107" t="s">
        <v>512</v>
      </c>
      <c r="E83" s="137">
        <v>3</v>
      </c>
      <c r="F83" s="92" t="s">
        <v>94</v>
      </c>
      <c r="G83" s="96">
        <v>4090</v>
      </c>
      <c r="H83" s="97">
        <f>E83*G83*100%</f>
        <v>12270</v>
      </c>
      <c r="I83" s="96"/>
      <c r="J83" s="164" t="s">
        <v>639</v>
      </c>
      <c r="K83" s="93"/>
    </row>
    <row r="84" spans="1:11" ht="17">
      <c r="A84" s="62"/>
      <c r="B84" s="98" t="s">
        <v>383</v>
      </c>
      <c r="C84" s="92"/>
      <c r="D84" s="107" t="s">
        <v>384</v>
      </c>
      <c r="E84" s="137"/>
      <c r="F84" s="92" t="s">
        <v>161</v>
      </c>
      <c r="G84" s="96"/>
      <c r="H84" s="97">
        <f>E84*G84</f>
        <v>0</v>
      </c>
      <c r="I84" s="96"/>
      <c r="J84" s="164"/>
    </row>
    <row r="85" spans="1:11" ht="17">
      <c r="A85" s="62"/>
      <c r="B85" s="98">
        <v>72500</v>
      </c>
      <c r="C85" s="92"/>
      <c r="D85" s="107" t="s">
        <v>513</v>
      </c>
      <c r="E85" s="137">
        <v>0</v>
      </c>
      <c r="F85" s="92" t="s">
        <v>94</v>
      </c>
      <c r="G85" s="96">
        <v>517</v>
      </c>
      <c r="H85" s="97">
        <f>E85*G85</f>
        <v>0</v>
      </c>
      <c r="I85" s="96"/>
      <c r="J85" s="164"/>
    </row>
    <row r="86" spans="1:11" ht="17">
      <c r="A86" s="62"/>
      <c r="B86" s="98" t="s">
        <v>389</v>
      </c>
      <c r="C86" s="92"/>
      <c r="D86" s="107" t="s">
        <v>500</v>
      </c>
      <c r="E86" s="137">
        <v>1</v>
      </c>
      <c r="F86" s="92" t="s">
        <v>94</v>
      </c>
      <c r="G86" s="96">
        <v>3451</v>
      </c>
      <c r="H86" s="97">
        <f>E86*G86</f>
        <v>3451</v>
      </c>
      <c r="I86" s="96"/>
      <c r="J86" s="164" t="s">
        <v>608</v>
      </c>
    </row>
    <row r="87" spans="1:11" ht="16">
      <c r="A87" s="62"/>
      <c r="B87" s="100"/>
      <c r="C87" s="92"/>
      <c r="D87" s="107"/>
      <c r="E87" s="137"/>
      <c r="F87" s="92"/>
      <c r="G87" s="96"/>
      <c r="H87" s="99"/>
      <c r="I87" s="96"/>
      <c r="J87" s="164"/>
    </row>
    <row r="88" spans="1:11" ht="16">
      <c r="A88" s="62"/>
      <c r="B88" s="100"/>
      <c r="C88" s="92"/>
      <c r="D88" s="107"/>
      <c r="E88" s="137"/>
      <c r="F88" s="92"/>
      <c r="G88" s="96"/>
      <c r="H88" s="97"/>
      <c r="I88" s="96"/>
      <c r="J88" s="164"/>
    </row>
    <row r="89" spans="1:11" ht="17">
      <c r="A89" s="62"/>
      <c r="B89" s="100"/>
      <c r="C89" s="92"/>
      <c r="D89" s="118" t="s">
        <v>78</v>
      </c>
      <c r="E89" s="137"/>
      <c r="F89" s="92"/>
      <c r="G89" s="96"/>
      <c r="H89" s="97">
        <f>SUM(H83:H87)</f>
        <v>15721</v>
      </c>
      <c r="I89" s="96">
        <f>H89/H17</f>
        <v>1.8028669724770643</v>
      </c>
      <c r="J89" s="164"/>
    </row>
    <row r="90" spans="1:11" ht="16">
      <c r="A90" s="62"/>
      <c r="B90" s="100"/>
      <c r="C90" s="92"/>
      <c r="D90" s="118"/>
      <c r="E90" s="137"/>
      <c r="F90" s="92"/>
      <c r="G90" s="96"/>
      <c r="H90" s="97"/>
      <c r="I90" s="96"/>
      <c r="J90" s="164"/>
    </row>
    <row r="91" spans="1:11" ht="16">
      <c r="A91" s="62"/>
      <c r="B91" s="92"/>
      <c r="C91" s="92"/>
      <c r="D91" s="107"/>
      <c r="E91" s="137"/>
      <c r="F91" s="92"/>
      <c r="G91" s="96"/>
      <c r="H91" s="97"/>
      <c r="I91" s="96"/>
      <c r="J91" s="164"/>
    </row>
    <row r="92" spans="1:11" ht="17">
      <c r="A92" s="62"/>
      <c r="B92" s="94" t="s">
        <v>23</v>
      </c>
      <c r="C92" s="95"/>
      <c r="D92" s="118" t="s">
        <v>80</v>
      </c>
      <c r="E92" s="137"/>
      <c r="F92" s="92"/>
      <c r="G92" s="96"/>
      <c r="H92" s="97"/>
      <c r="I92" s="96"/>
      <c r="J92" s="164"/>
    </row>
    <row r="93" spans="1:11" ht="32" customHeight="1">
      <c r="A93" s="62"/>
      <c r="B93" s="98" t="s">
        <v>220</v>
      </c>
      <c r="C93" s="92"/>
      <c r="D93" s="107" t="s">
        <v>499</v>
      </c>
      <c r="E93" s="137">
        <v>2</v>
      </c>
      <c r="F93" s="92" t="s">
        <v>94</v>
      </c>
      <c r="G93" s="96">
        <f>4171+8*982</f>
        <v>12027</v>
      </c>
      <c r="H93" s="97">
        <f>E93*G93*100%</f>
        <v>24054</v>
      </c>
      <c r="I93" s="96"/>
      <c r="J93" s="164" t="s">
        <v>616</v>
      </c>
    </row>
    <row r="94" spans="1:11" ht="53" customHeight="1">
      <c r="A94" s="62"/>
      <c r="B94" s="98" t="s">
        <v>222</v>
      </c>
      <c r="C94" s="92"/>
      <c r="D94" s="107" t="s">
        <v>546</v>
      </c>
      <c r="E94" s="137">
        <v>3.3</v>
      </c>
      <c r="F94" s="92" t="s">
        <v>94</v>
      </c>
      <c r="G94" s="96">
        <v>19809</v>
      </c>
      <c r="H94" s="97">
        <f>E94*G94</f>
        <v>65369.7</v>
      </c>
      <c r="I94" s="96"/>
      <c r="J94" s="164" t="s">
        <v>642</v>
      </c>
    </row>
    <row r="95" spans="1:11" ht="17">
      <c r="A95" s="62"/>
      <c r="B95" s="98" t="s">
        <v>457</v>
      </c>
      <c r="C95" s="92"/>
      <c r="D95" s="107" t="s">
        <v>578</v>
      </c>
      <c r="E95" s="137">
        <v>0</v>
      </c>
      <c r="F95" s="92" t="s">
        <v>94</v>
      </c>
      <c r="G95" s="96">
        <v>2900</v>
      </c>
      <c r="H95" s="97">
        <f>E95*G95*38%</f>
        <v>0</v>
      </c>
      <c r="I95" s="96"/>
      <c r="J95" s="164"/>
    </row>
    <row r="96" spans="1:11" ht="16">
      <c r="A96" s="62"/>
      <c r="B96" s="100"/>
      <c r="C96" s="92"/>
      <c r="D96" s="107"/>
      <c r="E96" s="137"/>
      <c r="F96" s="92"/>
      <c r="G96" s="96"/>
      <c r="H96" s="99"/>
      <c r="I96" s="96"/>
      <c r="J96" s="164"/>
    </row>
    <row r="97" spans="1:11" ht="16">
      <c r="A97" s="62"/>
      <c r="B97" s="100"/>
      <c r="C97" s="92"/>
      <c r="D97" s="107"/>
      <c r="E97" s="137"/>
      <c r="F97" s="92"/>
      <c r="G97" s="96"/>
      <c r="H97" s="97"/>
      <c r="I97" s="96"/>
      <c r="J97" s="164"/>
    </row>
    <row r="98" spans="1:11" ht="17">
      <c r="A98" s="62"/>
      <c r="B98" s="100"/>
      <c r="C98" s="92"/>
      <c r="D98" s="118" t="s">
        <v>81</v>
      </c>
      <c r="E98" s="137"/>
      <c r="F98" s="92"/>
      <c r="G98" s="96"/>
      <c r="H98" s="97">
        <f>SUM(H93:H96)</f>
        <v>89423.7</v>
      </c>
      <c r="I98" s="96">
        <f>H98/H17</f>
        <v>10.255011467889908</v>
      </c>
      <c r="J98" s="164"/>
    </row>
    <row r="99" spans="1:11" ht="16">
      <c r="A99" s="62"/>
      <c r="B99" s="100"/>
      <c r="C99" s="92"/>
      <c r="D99" s="118"/>
      <c r="E99" s="137"/>
      <c r="F99" s="92"/>
      <c r="G99" s="96"/>
      <c r="H99" s="97"/>
      <c r="I99" s="96"/>
      <c r="J99" s="164"/>
    </row>
    <row r="100" spans="1:11" ht="16">
      <c r="A100" s="62"/>
      <c r="B100" s="92"/>
      <c r="C100" s="92"/>
      <c r="D100" s="107"/>
      <c r="E100" s="137"/>
      <c r="F100" s="92"/>
      <c r="G100" s="96"/>
      <c r="H100" s="97"/>
      <c r="I100" s="96"/>
      <c r="J100" s="164"/>
    </row>
    <row r="101" spans="1:11" ht="34">
      <c r="A101" s="62"/>
      <c r="B101" s="94" t="s">
        <v>24</v>
      </c>
      <c r="C101" s="95"/>
      <c r="D101" s="118" t="s">
        <v>524</v>
      </c>
      <c r="E101" s="137"/>
      <c r="F101" s="92"/>
      <c r="G101" s="96"/>
      <c r="H101" s="97"/>
      <c r="I101" s="96"/>
      <c r="J101" s="164"/>
    </row>
    <row r="102" spans="1:11" ht="34">
      <c r="A102" s="62"/>
      <c r="B102" s="98" t="s">
        <v>407</v>
      </c>
      <c r="C102" s="92"/>
      <c r="D102" s="107" t="s">
        <v>515</v>
      </c>
      <c r="E102" s="137">
        <v>256</v>
      </c>
      <c r="F102" s="92" t="s">
        <v>120</v>
      </c>
      <c r="G102" s="96">
        <v>148</v>
      </c>
      <c r="H102" s="97">
        <f>E102*G102</f>
        <v>37888</v>
      </c>
      <c r="I102" s="96"/>
      <c r="J102" s="164" t="s">
        <v>640</v>
      </c>
      <c r="K102" s="93"/>
    </row>
    <row r="103" spans="1:11" ht="17">
      <c r="A103" s="62"/>
      <c r="B103" s="98" t="s">
        <v>407</v>
      </c>
      <c r="C103" s="92"/>
      <c r="D103" s="107" t="s">
        <v>478</v>
      </c>
      <c r="E103" s="137">
        <v>0</v>
      </c>
      <c r="F103" s="92" t="s">
        <v>120</v>
      </c>
      <c r="G103" s="96">
        <v>97</v>
      </c>
      <c r="H103" s="97">
        <f>E103*G103</f>
        <v>0</v>
      </c>
      <c r="I103" s="96"/>
      <c r="J103" s="164"/>
      <c r="K103" s="1"/>
    </row>
    <row r="104" spans="1:11" ht="17">
      <c r="A104" s="62"/>
      <c r="B104" s="98" t="s">
        <v>154</v>
      </c>
      <c r="C104" s="92"/>
      <c r="D104" s="107" t="s">
        <v>165</v>
      </c>
      <c r="E104" s="137"/>
      <c r="F104" s="92" t="s">
        <v>58</v>
      </c>
      <c r="G104" s="96"/>
      <c r="H104" s="97">
        <f>E104*G104</f>
        <v>0</v>
      </c>
      <c r="I104" s="96"/>
      <c r="J104" s="164"/>
    </row>
    <row r="105" spans="1:11" ht="46" customHeight="1">
      <c r="A105" s="62"/>
      <c r="B105" s="98" t="s">
        <v>178</v>
      </c>
      <c r="C105" s="92"/>
      <c r="D105" s="107" t="s">
        <v>580</v>
      </c>
      <c r="E105" s="137">
        <v>6777</v>
      </c>
      <c r="F105" s="92" t="s">
        <v>58</v>
      </c>
      <c r="G105" s="96">
        <v>4.7</v>
      </c>
      <c r="H105" s="97">
        <f>E105*G105</f>
        <v>31851.9</v>
      </c>
      <c r="I105" s="96"/>
      <c r="J105" s="164" t="s">
        <v>609</v>
      </c>
      <c r="K105" s="1">
        <v>21000</v>
      </c>
    </row>
    <row r="106" spans="1:11" ht="49" customHeight="1">
      <c r="A106" s="62"/>
      <c r="B106" s="98" t="s">
        <v>170</v>
      </c>
      <c r="C106" s="92"/>
      <c r="D106" s="107" t="s">
        <v>574</v>
      </c>
      <c r="E106" s="137">
        <v>1.4</v>
      </c>
      <c r="F106" s="92" t="s">
        <v>94</v>
      </c>
      <c r="G106" s="96">
        <v>26900</v>
      </c>
      <c r="H106" s="147">
        <f>G106*E106</f>
        <v>37660</v>
      </c>
      <c r="I106" s="96"/>
      <c r="J106" s="164" t="s">
        <v>648</v>
      </c>
      <c r="K106" s="150" t="s">
        <v>559</v>
      </c>
    </row>
    <row r="107" spans="1:11" ht="17">
      <c r="A107" s="62"/>
      <c r="B107" s="98" t="s">
        <v>178</v>
      </c>
      <c r="C107" s="92"/>
      <c r="D107" s="107" t="s">
        <v>520</v>
      </c>
      <c r="E107" s="137">
        <v>0</v>
      </c>
      <c r="F107" s="92" t="s">
        <v>94</v>
      </c>
      <c r="G107" s="96">
        <v>11996</v>
      </c>
      <c r="H107" s="147">
        <f>G107*E107</f>
        <v>0</v>
      </c>
      <c r="I107" s="149" t="s">
        <v>557</v>
      </c>
      <c r="J107" s="164" t="s">
        <v>565</v>
      </c>
      <c r="K107" s="93"/>
    </row>
    <row r="108" spans="1:11" ht="17">
      <c r="A108" s="62"/>
      <c r="B108" s="98" t="s">
        <v>547</v>
      </c>
      <c r="C108" s="92"/>
      <c r="D108" s="107" t="s">
        <v>548</v>
      </c>
      <c r="E108" s="137">
        <v>2</v>
      </c>
      <c r="F108" s="92" t="s">
        <v>94</v>
      </c>
      <c r="G108" s="96">
        <v>7320</v>
      </c>
      <c r="H108" s="147">
        <f>G108*E108</f>
        <v>14640</v>
      </c>
      <c r="I108" s="149" t="s">
        <v>557</v>
      </c>
      <c r="J108" s="219" t="s">
        <v>633</v>
      </c>
      <c r="K108" s="111"/>
    </row>
    <row r="109" spans="1:11" ht="17">
      <c r="A109" s="62"/>
      <c r="B109" s="98" t="s">
        <v>180</v>
      </c>
      <c r="C109" s="92"/>
      <c r="D109" s="107" t="s">
        <v>493</v>
      </c>
      <c r="E109" s="137">
        <v>8000</v>
      </c>
      <c r="F109" s="92" t="s">
        <v>58</v>
      </c>
      <c r="G109" s="96">
        <v>2.97</v>
      </c>
      <c r="H109" s="147">
        <f>G109*E109</f>
        <v>23760</v>
      </c>
      <c r="I109" s="96"/>
      <c r="J109" s="164" t="s">
        <v>629</v>
      </c>
    </row>
    <row r="110" spans="1:11" ht="17">
      <c r="A110" s="62"/>
      <c r="B110" s="98" t="s">
        <v>183</v>
      </c>
      <c r="C110" s="92"/>
      <c r="D110" s="148" t="s">
        <v>461</v>
      </c>
      <c r="E110" s="137">
        <v>13</v>
      </c>
      <c r="F110" s="92" t="s">
        <v>94</v>
      </c>
      <c r="G110" s="96">
        <v>3080</v>
      </c>
      <c r="H110" s="97">
        <f>E110*G110</f>
        <v>40040</v>
      </c>
      <c r="I110" s="96"/>
      <c r="J110" s="164" t="s">
        <v>641</v>
      </c>
    </row>
    <row r="111" spans="1:11" ht="17">
      <c r="A111" s="62"/>
      <c r="B111" s="98" t="s">
        <v>183</v>
      </c>
      <c r="C111" s="92"/>
      <c r="D111" s="107" t="s">
        <v>186</v>
      </c>
      <c r="E111" s="137"/>
      <c r="F111" s="92" t="s">
        <v>58</v>
      </c>
      <c r="G111" s="96"/>
      <c r="H111" s="97">
        <f>E111*G111</f>
        <v>0</v>
      </c>
      <c r="I111" s="96"/>
      <c r="J111" s="164"/>
      <c r="K111" s="93"/>
    </row>
    <row r="112" spans="1:11" ht="16">
      <c r="A112" s="62"/>
      <c r="B112" s="98" t="s">
        <v>537</v>
      </c>
      <c r="C112" s="92"/>
      <c r="D112" s="107"/>
      <c r="E112" s="137"/>
      <c r="F112" s="92"/>
      <c r="G112" s="96"/>
      <c r="H112" s="97"/>
      <c r="I112" s="96"/>
      <c r="J112" s="164"/>
      <c r="K112" s="93"/>
    </row>
    <row r="113" spans="1:11" ht="16">
      <c r="A113" s="62"/>
      <c r="B113" s="100"/>
      <c r="C113" s="92"/>
      <c r="D113" s="107"/>
      <c r="E113" s="137"/>
      <c r="F113" s="92"/>
      <c r="G113" s="96"/>
      <c r="H113" s="99"/>
      <c r="I113" s="96"/>
      <c r="J113" s="164"/>
      <c r="K113" s="93"/>
    </row>
    <row r="114" spans="1:11" ht="16">
      <c r="A114" s="62"/>
      <c r="B114" s="100"/>
      <c r="C114" s="92"/>
      <c r="D114" s="107"/>
      <c r="E114" s="137"/>
      <c r="F114" s="92"/>
      <c r="G114" s="96"/>
      <c r="H114" s="97"/>
      <c r="I114" s="96"/>
      <c r="J114" s="164"/>
      <c r="K114" s="93"/>
    </row>
    <row r="115" spans="1:11" ht="17">
      <c r="A115" s="62"/>
      <c r="B115" s="100"/>
      <c r="C115" s="92"/>
      <c r="D115" s="118" t="s">
        <v>82</v>
      </c>
      <c r="E115" s="137"/>
      <c r="F115" s="92"/>
      <c r="G115" s="96"/>
      <c r="H115" s="97">
        <f>SUM(H102:H113)</f>
        <v>185839.9</v>
      </c>
      <c r="I115" s="96">
        <f>H115/H17</f>
        <v>21.31191513761468</v>
      </c>
      <c r="J115" s="164"/>
      <c r="K115" s="93"/>
    </row>
    <row r="116" spans="1:11" ht="16">
      <c r="A116" s="62"/>
      <c r="B116" s="100"/>
      <c r="C116" s="92"/>
      <c r="D116" s="118"/>
      <c r="E116" s="137"/>
      <c r="F116" s="92"/>
      <c r="G116" s="96"/>
      <c r="H116" s="97"/>
      <c r="I116" s="96"/>
      <c r="J116" s="164"/>
      <c r="K116" s="93"/>
    </row>
    <row r="117" spans="1:11" ht="16">
      <c r="A117" s="62"/>
      <c r="B117" s="92"/>
      <c r="C117" s="92"/>
      <c r="D117" s="107"/>
      <c r="E117" s="137"/>
      <c r="F117" s="92"/>
      <c r="G117" s="96"/>
      <c r="H117" s="97"/>
      <c r="I117" s="96"/>
      <c r="J117" s="164"/>
    </row>
    <row r="118" spans="1:11" ht="34">
      <c r="A118" s="62"/>
      <c r="B118" s="101">
        <v>10000</v>
      </c>
      <c r="C118" s="95"/>
      <c r="D118" s="118" t="s">
        <v>566</v>
      </c>
      <c r="E118" s="137"/>
      <c r="F118" s="92"/>
      <c r="G118" s="96"/>
      <c r="H118" s="97"/>
      <c r="I118" s="96"/>
      <c r="J118" s="164"/>
    </row>
    <row r="119" spans="1:11" ht="32" customHeight="1">
      <c r="A119" s="62"/>
      <c r="B119" s="100">
        <v>10100</v>
      </c>
      <c r="C119" s="92"/>
      <c r="D119" s="107" t="s">
        <v>427</v>
      </c>
      <c r="E119" s="137">
        <v>1.4</v>
      </c>
      <c r="F119" s="92" t="s">
        <v>94</v>
      </c>
      <c r="G119" s="146">
        <v>980</v>
      </c>
      <c r="H119" s="147">
        <f>G119*E119</f>
        <v>1372</v>
      </c>
      <c r="I119" s="96"/>
      <c r="J119" s="164" t="s">
        <v>610</v>
      </c>
    </row>
    <row r="120" spans="1:11" ht="32" customHeight="1">
      <c r="A120" s="62"/>
      <c r="B120" s="100">
        <v>10200</v>
      </c>
      <c r="C120" s="92"/>
      <c r="D120" s="107" t="s">
        <v>627</v>
      </c>
      <c r="E120" s="137">
        <v>1</v>
      </c>
      <c r="F120" s="92" t="s">
        <v>94</v>
      </c>
      <c r="G120" s="96">
        <v>9217</v>
      </c>
      <c r="H120" s="97">
        <f>E120*G120</f>
        <v>9217</v>
      </c>
      <c r="I120" s="96"/>
      <c r="J120" s="164" t="s">
        <v>628</v>
      </c>
    </row>
    <row r="121" spans="1:11" ht="60.75" customHeight="1">
      <c r="A121" s="62"/>
      <c r="B121" s="98" t="s">
        <v>529</v>
      </c>
      <c r="C121" s="92"/>
      <c r="D121" s="107" t="s">
        <v>567</v>
      </c>
      <c r="E121" s="137">
        <v>0</v>
      </c>
      <c r="F121" s="92" t="s">
        <v>94</v>
      </c>
      <c r="G121" s="96">
        <v>36334</v>
      </c>
      <c r="H121" s="97">
        <f>G121*E121</f>
        <v>0</v>
      </c>
      <c r="I121" s="96"/>
      <c r="J121" s="164" t="s">
        <v>565</v>
      </c>
    </row>
    <row r="122" spans="1:11" ht="32" customHeight="1">
      <c r="A122" s="62"/>
      <c r="B122" s="98" t="s">
        <v>530</v>
      </c>
      <c r="C122" s="92"/>
      <c r="D122" s="107" t="s">
        <v>528</v>
      </c>
      <c r="E122" s="137">
        <v>0</v>
      </c>
      <c r="F122" s="92" t="s">
        <v>94</v>
      </c>
      <c r="G122" s="96">
        <v>3000</v>
      </c>
      <c r="H122" s="97">
        <f>G122*E122</f>
        <v>0</v>
      </c>
      <c r="I122" s="96"/>
      <c r="J122" s="164"/>
    </row>
    <row r="123" spans="1:11" ht="17">
      <c r="A123" s="62"/>
      <c r="B123" s="100">
        <v>10500</v>
      </c>
      <c r="C123" s="92"/>
      <c r="D123" s="107" t="s">
        <v>502</v>
      </c>
      <c r="E123" s="137">
        <v>1</v>
      </c>
      <c r="F123" s="92" t="s">
        <v>94</v>
      </c>
      <c r="G123" s="96">
        <v>7500</v>
      </c>
      <c r="H123" s="97">
        <f>G123*E123</f>
        <v>7500</v>
      </c>
      <c r="I123" s="96"/>
      <c r="J123" s="164" t="s">
        <v>611</v>
      </c>
      <c r="K123" s="130"/>
    </row>
    <row r="124" spans="1:11" ht="17">
      <c r="A124" s="62"/>
      <c r="B124" s="100">
        <v>10600</v>
      </c>
      <c r="C124" s="92"/>
      <c r="D124" s="107" t="s">
        <v>570</v>
      </c>
      <c r="E124" s="137">
        <v>0</v>
      </c>
      <c r="F124" s="92" t="s">
        <v>94</v>
      </c>
      <c r="G124" s="96">
        <v>4412</v>
      </c>
      <c r="H124" s="97">
        <f>E124*G124</f>
        <v>0</v>
      </c>
      <c r="I124" s="96"/>
      <c r="J124" s="164" t="s">
        <v>615</v>
      </c>
      <c r="K124" s="130"/>
    </row>
    <row r="125" spans="1:11" ht="16">
      <c r="A125" s="62"/>
      <c r="B125" s="100"/>
      <c r="C125" s="92"/>
      <c r="D125" s="107"/>
      <c r="E125" s="137"/>
      <c r="F125" s="92"/>
      <c r="G125" s="96"/>
      <c r="H125" s="97"/>
      <c r="I125" s="96"/>
      <c r="J125" s="164" t="s">
        <v>615</v>
      </c>
      <c r="K125" s="93"/>
    </row>
    <row r="126" spans="1:11" ht="17">
      <c r="A126" s="62"/>
      <c r="B126" s="100"/>
      <c r="C126" s="92"/>
      <c r="D126" s="118" t="s">
        <v>83</v>
      </c>
      <c r="E126" s="137"/>
      <c r="F126" s="92"/>
      <c r="G126" s="96"/>
      <c r="H126" s="97">
        <f>SUM(H119:H124)</f>
        <v>18089</v>
      </c>
      <c r="I126" s="96">
        <f>H126/H17</f>
        <v>2.0744266055045872</v>
      </c>
      <c r="J126" s="164"/>
    </row>
    <row r="127" spans="1:11" ht="16">
      <c r="A127" s="62"/>
      <c r="B127" s="100"/>
      <c r="C127" s="92"/>
      <c r="D127" s="118"/>
      <c r="E127" s="137"/>
      <c r="F127" s="92"/>
      <c r="G127" s="96"/>
      <c r="H127" s="97"/>
      <c r="I127" s="96"/>
      <c r="J127" s="164"/>
    </row>
    <row r="128" spans="1:11" ht="16">
      <c r="A128" s="62"/>
      <c r="B128" s="92"/>
      <c r="C128" s="92"/>
      <c r="D128" s="107"/>
      <c r="E128" s="137"/>
      <c r="F128" s="92"/>
      <c r="G128" s="96"/>
      <c r="H128" s="97"/>
      <c r="I128" s="96"/>
      <c r="J128" s="164"/>
    </row>
    <row r="129" spans="1:10" ht="17">
      <c r="A129" s="62"/>
      <c r="B129" s="101">
        <v>11000</v>
      </c>
      <c r="C129" s="95"/>
      <c r="D129" s="118" t="s">
        <v>568</v>
      </c>
      <c r="E129" s="137"/>
      <c r="F129" s="92"/>
      <c r="G129" s="96"/>
      <c r="H129" s="97"/>
      <c r="I129" s="96"/>
    </row>
    <row r="130" spans="1:10" ht="17">
      <c r="A130" s="62"/>
      <c r="B130" s="98" t="s">
        <v>561</v>
      </c>
      <c r="C130" s="92"/>
      <c r="D130" s="107" t="s">
        <v>586</v>
      </c>
      <c r="E130" s="137">
        <v>0</v>
      </c>
      <c r="F130" s="92" t="s">
        <v>94</v>
      </c>
      <c r="G130" s="96">
        <f>2850+3620</f>
        <v>6470</v>
      </c>
      <c r="H130" s="97">
        <f>E130*G130</f>
        <v>0</v>
      </c>
      <c r="I130" s="96"/>
      <c r="J130" s="164"/>
    </row>
    <row r="131" spans="1:10" ht="17">
      <c r="A131" s="62"/>
      <c r="B131" s="98" t="s">
        <v>562</v>
      </c>
      <c r="C131" s="92"/>
      <c r="D131" s="107" t="s">
        <v>535</v>
      </c>
      <c r="E131" s="137">
        <v>2</v>
      </c>
      <c r="F131" s="92" t="s">
        <v>94</v>
      </c>
      <c r="G131" s="96">
        <v>800</v>
      </c>
      <c r="H131" s="97">
        <f>E131*G131</f>
        <v>1600</v>
      </c>
      <c r="I131" s="96"/>
      <c r="J131" s="164" t="s">
        <v>589</v>
      </c>
    </row>
    <row r="132" spans="1:10" ht="16">
      <c r="A132" s="62"/>
      <c r="B132" s="100"/>
      <c r="C132" s="92"/>
      <c r="D132" s="107"/>
      <c r="E132" s="137"/>
      <c r="F132" s="92"/>
      <c r="G132" s="96"/>
      <c r="H132" s="97"/>
      <c r="I132" s="96"/>
      <c r="J132" s="164"/>
    </row>
    <row r="133" spans="1:10" ht="16">
      <c r="A133" s="62"/>
      <c r="B133" s="100"/>
      <c r="C133" s="92"/>
      <c r="D133" s="107"/>
      <c r="E133" s="137"/>
      <c r="F133" s="92"/>
      <c r="G133" s="96"/>
      <c r="H133" s="97"/>
      <c r="I133" s="96">
        <f>H133/H17</f>
        <v>0</v>
      </c>
      <c r="J133" s="164"/>
    </row>
    <row r="134" spans="1:10" ht="16">
      <c r="A134" s="62"/>
      <c r="B134" s="100"/>
      <c r="C134" s="92"/>
      <c r="D134" s="107"/>
      <c r="E134" s="137"/>
      <c r="F134" s="92"/>
      <c r="G134" s="96"/>
      <c r="H134" s="99"/>
      <c r="I134" s="96"/>
      <c r="J134" s="164"/>
    </row>
    <row r="135" spans="1:10" ht="16">
      <c r="A135" s="62"/>
      <c r="B135" s="100"/>
      <c r="C135" s="92"/>
      <c r="D135" s="107"/>
      <c r="E135" s="137"/>
      <c r="F135" s="92"/>
      <c r="G135" s="96"/>
      <c r="H135" s="97"/>
      <c r="I135" s="96"/>
      <c r="J135" s="164"/>
    </row>
    <row r="136" spans="1:10" ht="17">
      <c r="A136" s="62"/>
      <c r="B136" s="100"/>
      <c r="C136" s="92"/>
      <c r="D136" s="118" t="s">
        <v>84</v>
      </c>
      <c r="E136" s="138"/>
      <c r="F136" s="92"/>
      <c r="G136" s="96"/>
      <c r="H136" s="97">
        <f>SUM(H130:H134)</f>
        <v>1600</v>
      </c>
      <c r="I136" s="96">
        <f>H136/H17</f>
        <v>0.1834862385321101</v>
      </c>
      <c r="J136" s="164"/>
    </row>
    <row r="137" spans="1:10" ht="16">
      <c r="A137" s="62"/>
      <c r="B137" s="100"/>
      <c r="C137" s="92"/>
      <c r="D137" s="118"/>
      <c r="E137" s="137"/>
      <c r="F137" s="92"/>
      <c r="G137" s="96"/>
      <c r="H137" s="97"/>
      <c r="I137" s="96"/>
      <c r="J137" s="164"/>
    </row>
    <row r="138" spans="1:10" ht="16">
      <c r="A138" s="62"/>
      <c r="B138" s="92"/>
      <c r="C138" s="92"/>
      <c r="D138" s="107"/>
      <c r="E138" s="137"/>
      <c r="F138" s="92"/>
      <c r="G138" s="96"/>
      <c r="H138" s="97"/>
      <c r="I138" s="96"/>
      <c r="J138" s="164"/>
    </row>
    <row r="139" spans="1:10" ht="17">
      <c r="A139" s="62"/>
      <c r="B139" s="101">
        <v>12000</v>
      </c>
      <c r="C139" s="95"/>
      <c r="D139" s="118" t="s">
        <v>525</v>
      </c>
      <c r="E139" s="138"/>
      <c r="F139" s="92"/>
      <c r="G139" s="96"/>
      <c r="H139" s="97"/>
      <c r="I139" s="96"/>
      <c r="J139" s="164"/>
    </row>
    <row r="140" spans="1:10" ht="17">
      <c r="A140" s="62"/>
      <c r="B140" s="100">
        <v>12100</v>
      </c>
      <c r="C140" s="92"/>
      <c r="D140" s="107" t="s">
        <v>519</v>
      </c>
      <c r="E140" s="137">
        <v>5.6</v>
      </c>
      <c r="F140" s="92" t="s">
        <v>94</v>
      </c>
      <c r="G140" s="96">
        <v>2871</v>
      </c>
      <c r="H140" s="97">
        <f>E140*G140</f>
        <v>16077.599999999999</v>
      </c>
      <c r="I140" s="96"/>
      <c r="J140" s="164" t="s">
        <v>588</v>
      </c>
    </row>
    <row r="141" spans="1:10" ht="17">
      <c r="A141" s="62"/>
      <c r="B141" s="100">
        <v>12100</v>
      </c>
      <c r="C141" s="92"/>
      <c r="D141" s="107" t="s">
        <v>585</v>
      </c>
      <c r="E141" s="137"/>
      <c r="F141" s="92" t="s">
        <v>119</v>
      </c>
      <c r="G141" s="96"/>
      <c r="H141" s="97">
        <f>E141*G141</f>
        <v>0</v>
      </c>
      <c r="I141" s="96"/>
      <c r="J141" s="164"/>
    </row>
    <row r="142" spans="1:10" ht="16">
      <c r="A142" s="62"/>
      <c r="B142" s="100"/>
      <c r="C142" s="92"/>
      <c r="D142" s="107"/>
      <c r="E142" s="137">
        <v>0</v>
      </c>
      <c r="F142" s="92" t="s">
        <v>119</v>
      </c>
      <c r="G142" s="96">
        <v>900</v>
      </c>
      <c r="H142" s="97">
        <f>E142*G142</f>
        <v>0</v>
      </c>
      <c r="I142" s="96"/>
      <c r="J142" s="164"/>
    </row>
    <row r="143" spans="1:10" ht="16">
      <c r="A143" s="62"/>
      <c r="B143" s="100"/>
      <c r="C143" s="92"/>
      <c r="D143" s="107"/>
      <c r="E143" s="137"/>
      <c r="F143" s="92"/>
      <c r="G143" s="96"/>
      <c r="H143" s="97"/>
      <c r="I143" s="96"/>
      <c r="J143" s="164"/>
    </row>
    <row r="144" spans="1:10" ht="17">
      <c r="A144" s="62"/>
      <c r="B144" s="100"/>
      <c r="C144" s="92"/>
      <c r="D144" s="118" t="s">
        <v>85</v>
      </c>
      <c r="E144" s="137"/>
      <c r="F144" s="92"/>
      <c r="G144" s="96"/>
      <c r="H144" s="97">
        <f>SUM(H140:H142)</f>
        <v>16077.599999999999</v>
      </c>
      <c r="I144" s="96">
        <f>H144/H17</f>
        <v>1.8437614678899081</v>
      </c>
      <c r="J144" s="164"/>
    </row>
    <row r="145" spans="1:11" ht="16">
      <c r="A145" s="62"/>
      <c r="B145" s="100"/>
      <c r="C145" s="92"/>
      <c r="D145" s="107"/>
      <c r="E145" s="137"/>
      <c r="F145" s="92"/>
      <c r="G145" s="96"/>
      <c r="H145" s="99"/>
      <c r="I145" s="96"/>
      <c r="J145" s="164"/>
    </row>
    <row r="146" spans="1:11" ht="16">
      <c r="A146" s="62"/>
      <c r="B146" s="100"/>
      <c r="C146" s="92"/>
      <c r="D146" s="107"/>
      <c r="E146" s="137"/>
      <c r="F146" s="92"/>
      <c r="G146" s="96"/>
      <c r="H146" s="97"/>
      <c r="I146" s="96"/>
      <c r="J146" s="164"/>
    </row>
    <row r="147" spans="1:11" ht="17">
      <c r="A147" s="62"/>
      <c r="B147" s="100"/>
      <c r="C147" s="92"/>
      <c r="D147" s="118" t="s">
        <v>87</v>
      </c>
      <c r="E147" s="137"/>
      <c r="F147" s="92"/>
      <c r="G147" s="96"/>
      <c r="H147" s="97">
        <f>SUM(H145:H145)</f>
        <v>0</v>
      </c>
      <c r="I147" s="96">
        <f>H147/H17</f>
        <v>0</v>
      </c>
      <c r="J147" s="164"/>
    </row>
    <row r="148" spans="1:11" ht="16">
      <c r="A148" s="62"/>
      <c r="B148" s="100"/>
      <c r="C148" s="92"/>
      <c r="D148" s="118"/>
      <c r="E148" s="137"/>
      <c r="F148" s="92"/>
      <c r="G148" s="96"/>
      <c r="H148" s="97"/>
      <c r="I148" s="96"/>
      <c r="J148" s="164"/>
    </row>
    <row r="149" spans="1:11" ht="16">
      <c r="A149" s="62"/>
      <c r="B149" s="92"/>
      <c r="C149" s="92"/>
      <c r="D149" s="107"/>
      <c r="E149" s="137"/>
      <c r="F149" s="92"/>
      <c r="G149" s="96"/>
      <c r="H149" s="97"/>
      <c r="I149" s="96"/>
      <c r="J149" s="164"/>
    </row>
    <row r="150" spans="1:11" ht="17">
      <c r="A150" s="62"/>
      <c r="B150" s="101">
        <v>15000</v>
      </c>
      <c r="C150" s="95"/>
      <c r="D150" s="118" t="s">
        <v>71</v>
      </c>
      <c r="E150" s="137"/>
      <c r="F150" s="92"/>
      <c r="G150" s="96"/>
      <c r="H150" s="97"/>
      <c r="I150" s="96"/>
      <c r="J150" s="164"/>
    </row>
    <row r="151" spans="1:11" ht="66" customHeight="1">
      <c r="A151" s="62"/>
      <c r="B151" s="100">
        <v>15500</v>
      </c>
      <c r="C151" s="92"/>
      <c r="D151" s="107" t="s">
        <v>204</v>
      </c>
      <c r="E151" s="137">
        <v>3</v>
      </c>
      <c r="F151" s="92" t="s">
        <v>94</v>
      </c>
      <c r="G151" s="96">
        <v>43971</v>
      </c>
      <c r="H151" s="97">
        <f>E151*G151</f>
        <v>131913</v>
      </c>
      <c r="I151" s="96"/>
      <c r="J151" s="164" t="s">
        <v>647</v>
      </c>
      <c r="K151" s="1"/>
    </row>
    <row r="152" spans="1:11" ht="24" customHeight="1">
      <c r="A152" s="62"/>
      <c r="B152" s="98" t="s">
        <v>563</v>
      </c>
      <c r="C152" s="92"/>
      <c r="D152" s="107" t="s">
        <v>569</v>
      </c>
      <c r="E152" s="137">
        <v>0</v>
      </c>
      <c r="F152" s="92" t="s">
        <v>94</v>
      </c>
      <c r="G152" s="96">
        <v>5000</v>
      </c>
      <c r="H152" s="97">
        <f>E152*G152</f>
        <v>0</v>
      </c>
      <c r="I152" s="96"/>
      <c r="J152" s="171" t="s">
        <v>565</v>
      </c>
      <c r="K152" s="1"/>
    </row>
    <row r="153" spans="1:11" ht="16">
      <c r="A153" s="62"/>
      <c r="B153" s="100"/>
      <c r="C153" s="92"/>
      <c r="D153" s="107"/>
      <c r="E153" s="137"/>
      <c r="F153" s="92"/>
      <c r="G153" s="96"/>
      <c r="H153" s="99"/>
      <c r="I153" s="96"/>
      <c r="J153" s="172"/>
    </row>
    <row r="154" spans="1:11" ht="16">
      <c r="A154" s="62"/>
      <c r="B154" s="100"/>
      <c r="C154" s="92"/>
      <c r="D154" s="107"/>
      <c r="E154" s="137"/>
      <c r="F154" s="92"/>
      <c r="G154" s="96"/>
      <c r="H154" s="97"/>
      <c r="I154" s="96"/>
      <c r="J154" s="172"/>
    </row>
    <row r="155" spans="1:11" ht="17">
      <c r="A155" s="62"/>
      <c r="B155" s="100"/>
      <c r="C155" s="92"/>
      <c r="D155" s="118" t="s">
        <v>88</v>
      </c>
      <c r="E155" s="137"/>
      <c r="F155" s="92"/>
      <c r="G155" s="96"/>
      <c r="H155" s="97">
        <f>SUM(H151:H154)</f>
        <v>131913</v>
      </c>
      <c r="I155" s="96">
        <f>H155/H17</f>
        <v>15.1276376146789</v>
      </c>
      <c r="J155" s="164"/>
    </row>
    <row r="156" spans="1:11" ht="16">
      <c r="A156" s="62"/>
      <c r="B156" s="100"/>
      <c r="C156" s="92"/>
      <c r="D156" s="118"/>
      <c r="E156" s="137"/>
      <c r="F156" s="92"/>
      <c r="G156" s="96"/>
      <c r="H156" s="97"/>
      <c r="I156" s="96"/>
      <c r="J156" s="164"/>
    </row>
    <row r="157" spans="1:11" ht="66" customHeight="1">
      <c r="A157" s="62"/>
      <c r="B157" s="101" t="s">
        <v>650</v>
      </c>
      <c r="C157" s="92"/>
      <c r="D157" s="118" t="s">
        <v>202</v>
      </c>
      <c r="E157" s="137">
        <v>0</v>
      </c>
      <c r="F157" s="92" t="s">
        <v>94</v>
      </c>
      <c r="G157" s="96">
        <v>9100</v>
      </c>
      <c r="H157" s="97">
        <f>E157*G157</f>
        <v>0</v>
      </c>
      <c r="I157" s="96"/>
      <c r="J157" s="164" t="s">
        <v>596</v>
      </c>
      <c r="K157" s="1"/>
    </row>
    <row r="158" spans="1:11" ht="17">
      <c r="A158" s="62"/>
      <c r="B158" s="151" t="s">
        <v>564</v>
      </c>
      <c r="C158" s="92"/>
      <c r="D158" s="107" t="s">
        <v>477</v>
      </c>
      <c r="E158" s="137"/>
      <c r="F158" s="92"/>
      <c r="G158" s="96"/>
      <c r="H158" s="97">
        <f>E158*G158</f>
        <v>0</v>
      </c>
      <c r="I158" s="96"/>
      <c r="J158" s="164"/>
      <c r="K158" s="1"/>
    </row>
    <row r="159" spans="1:11" ht="17">
      <c r="A159" s="62"/>
      <c r="B159" s="103">
        <v>15120</v>
      </c>
      <c r="C159" s="92"/>
      <c r="D159" s="107" t="s">
        <v>593</v>
      </c>
      <c r="E159" s="137">
        <v>0</v>
      </c>
      <c r="F159" s="92" t="s">
        <v>94</v>
      </c>
      <c r="G159" s="96">
        <v>18771</v>
      </c>
      <c r="H159" s="97">
        <f>E159*G159</f>
        <v>0</v>
      </c>
      <c r="I159" s="96"/>
      <c r="J159" s="164" t="s">
        <v>565</v>
      </c>
      <c r="K159" s="1"/>
    </row>
    <row r="160" spans="1:11" ht="17">
      <c r="A160" s="62"/>
      <c r="B160" s="103"/>
      <c r="C160" s="92"/>
      <c r="D160" s="118" t="s">
        <v>501</v>
      </c>
      <c r="E160" s="137"/>
      <c r="F160" s="92"/>
      <c r="G160" s="96"/>
      <c r="H160" s="97">
        <f>SUM(H156:H159)</f>
        <v>0</v>
      </c>
      <c r="I160" s="96">
        <f>H160/H17</f>
        <v>0</v>
      </c>
      <c r="J160" s="164"/>
    </row>
    <row r="161" spans="1:11" ht="16">
      <c r="A161" s="62"/>
      <c r="B161" s="103"/>
      <c r="C161" s="92"/>
      <c r="D161" s="118"/>
      <c r="E161" s="137"/>
      <c r="F161" s="92"/>
      <c r="G161" s="96"/>
      <c r="H161" s="97"/>
      <c r="I161" s="96"/>
      <c r="J161" s="164"/>
    </row>
    <row r="162" spans="1:11" ht="54" customHeight="1">
      <c r="A162" s="62"/>
      <c r="B162" s="101" t="s">
        <v>651</v>
      </c>
      <c r="C162" s="92"/>
      <c r="D162" s="107" t="s">
        <v>203</v>
      </c>
      <c r="E162" s="137"/>
      <c r="F162" s="92"/>
      <c r="G162" s="96"/>
      <c r="H162" s="97"/>
      <c r="I162" s="96"/>
      <c r="J162" s="164"/>
      <c r="K162" s="1"/>
    </row>
    <row r="163" spans="1:11" ht="44" customHeight="1">
      <c r="A163" s="62"/>
      <c r="B163" s="100">
        <v>15300</v>
      </c>
      <c r="C163" s="92"/>
      <c r="D163" s="107" t="s">
        <v>203</v>
      </c>
      <c r="E163" s="137">
        <v>2.2999999999999998</v>
      </c>
      <c r="F163" s="92" t="s">
        <v>94</v>
      </c>
      <c r="G163" s="96">
        <v>20980</v>
      </c>
      <c r="H163" s="97">
        <f>E163*G163</f>
        <v>48253.999999999993</v>
      </c>
      <c r="I163" s="96"/>
      <c r="J163" s="164" t="s">
        <v>643</v>
      </c>
      <c r="K163" s="1"/>
    </row>
    <row r="164" spans="1:11" ht="31">
      <c r="A164" s="62"/>
      <c r="B164" s="98" t="s">
        <v>552</v>
      </c>
      <c r="C164" s="92"/>
      <c r="D164" s="107" t="s">
        <v>575</v>
      </c>
      <c r="E164" s="137">
        <v>1.5</v>
      </c>
      <c r="F164" s="92" t="s">
        <v>94</v>
      </c>
      <c r="G164" s="96">
        <v>13023</v>
      </c>
      <c r="H164" s="97">
        <f>E164*G164</f>
        <v>19534.5</v>
      </c>
      <c r="I164" s="96"/>
      <c r="J164" s="164" t="s">
        <v>612</v>
      </c>
      <c r="K164" s="1"/>
    </row>
    <row r="165" spans="1:11" ht="16">
      <c r="A165" s="62"/>
      <c r="B165" s="100"/>
      <c r="C165" s="92"/>
      <c r="D165" s="107"/>
      <c r="E165" s="137"/>
      <c r="F165" s="92"/>
      <c r="G165" s="96"/>
      <c r="H165" s="97"/>
      <c r="I165" s="96"/>
      <c r="J165" s="164"/>
      <c r="K165" s="1"/>
    </row>
    <row r="166" spans="1:11" ht="17">
      <c r="A166" s="62"/>
      <c r="B166" s="100"/>
      <c r="C166" s="92"/>
      <c r="D166" s="118" t="s">
        <v>496</v>
      </c>
      <c r="E166" s="137"/>
      <c r="F166" s="92"/>
      <c r="G166" s="96"/>
      <c r="H166" s="97">
        <f>SUM(H162:H164)</f>
        <v>67788.5</v>
      </c>
      <c r="I166" s="96">
        <f>H166/H17</f>
        <v>7.7739105504587158</v>
      </c>
      <c r="J166" s="164"/>
    </row>
    <row r="167" spans="1:11" ht="16">
      <c r="A167" s="62"/>
      <c r="B167" s="92"/>
      <c r="C167" s="92"/>
      <c r="D167" s="107"/>
      <c r="E167" s="137"/>
      <c r="F167" s="92"/>
      <c r="G167" s="96"/>
      <c r="H167" s="97"/>
      <c r="I167" s="96"/>
      <c r="K167" s="62"/>
    </row>
    <row r="168" spans="1:11" ht="17">
      <c r="A168" s="62"/>
      <c r="B168" s="101">
        <v>16000</v>
      </c>
      <c r="C168" s="95"/>
      <c r="D168" s="118" t="s">
        <v>72</v>
      </c>
      <c r="E168" s="137"/>
      <c r="F168" s="92"/>
      <c r="G168" s="96"/>
      <c r="H168" s="97"/>
      <c r="I168" s="96"/>
      <c r="K168" s="62"/>
    </row>
    <row r="169" spans="1:11" ht="96" customHeight="1">
      <c r="A169" s="62"/>
      <c r="B169" s="98">
        <v>16100</v>
      </c>
      <c r="C169" s="95"/>
      <c r="D169" s="107" t="s">
        <v>440</v>
      </c>
      <c r="E169" s="137">
        <v>5.3</v>
      </c>
      <c r="F169" s="92" t="s">
        <v>94</v>
      </c>
      <c r="G169" s="96">
        <v>35841</v>
      </c>
      <c r="H169" s="97">
        <f>E169*G169</f>
        <v>189957.3</v>
      </c>
      <c r="I169" s="96"/>
      <c r="J169" s="169" t="s">
        <v>644</v>
      </c>
      <c r="K169" s="62"/>
    </row>
    <row r="170" spans="1:11" ht="38" customHeight="1">
      <c r="A170" s="62"/>
      <c r="B170" s="100">
        <v>16200</v>
      </c>
      <c r="C170" s="92"/>
      <c r="D170" s="107" t="s">
        <v>579</v>
      </c>
      <c r="E170" s="137">
        <v>1.1000000000000001</v>
      </c>
      <c r="F170" s="92" t="s">
        <v>58</v>
      </c>
      <c r="G170" s="96">
        <v>19965</v>
      </c>
      <c r="H170" s="97">
        <f>E170*G170</f>
        <v>21961.5</v>
      </c>
      <c r="I170" s="96"/>
      <c r="J170" s="218" t="s">
        <v>614</v>
      </c>
      <c r="K170" s="71"/>
    </row>
    <row r="171" spans="1:11" ht="30">
      <c r="A171" s="62"/>
      <c r="B171" s="100">
        <v>16300</v>
      </c>
      <c r="C171" s="92"/>
      <c r="D171" s="107" t="s">
        <v>620</v>
      </c>
      <c r="E171" s="137">
        <v>2.8</v>
      </c>
      <c r="F171" s="92" t="s">
        <v>58</v>
      </c>
      <c r="G171" s="96">
        <v>19965</v>
      </c>
      <c r="H171" s="97">
        <f>E171*G171</f>
        <v>55902</v>
      </c>
      <c r="I171" s="96"/>
      <c r="J171" s="218" t="s">
        <v>621</v>
      </c>
      <c r="K171" s="62"/>
    </row>
    <row r="172" spans="1:11" ht="16">
      <c r="A172" s="62"/>
      <c r="B172" s="100"/>
      <c r="C172" s="92"/>
      <c r="D172" s="107"/>
      <c r="E172" s="137"/>
      <c r="F172" s="92"/>
      <c r="G172" s="96"/>
      <c r="H172" s="99"/>
      <c r="I172" s="96"/>
      <c r="J172" s="218"/>
      <c r="K172" s="62"/>
    </row>
    <row r="173" spans="1:11" ht="16">
      <c r="A173" s="62"/>
      <c r="B173" s="92"/>
      <c r="C173" s="92"/>
      <c r="D173" s="107"/>
      <c r="E173" s="137"/>
      <c r="F173" s="92"/>
      <c r="G173" s="96"/>
      <c r="H173" s="97"/>
      <c r="I173" s="96"/>
      <c r="J173" s="218"/>
      <c r="K173" s="62"/>
    </row>
    <row r="174" spans="1:11" ht="17">
      <c r="A174" s="62"/>
      <c r="B174" s="92"/>
      <c r="C174" s="92"/>
      <c r="D174" s="118" t="s">
        <v>89</v>
      </c>
      <c r="E174" s="137"/>
      <c r="F174" s="92"/>
      <c r="G174" s="96"/>
      <c r="H174" s="97">
        <f>SUM(H169:H172)</f>
        <v>267820.79999999999</v>
      </c>
      <c r="I174" s="96">
        <f>H174/H17</f>
        <v>30.713394495412842</v>
      </c>
      <c r="J174" s="218"/>
      <c r="K174" s="62"/>
    </row>
    <row r="175" spans="1:11" ht="16">
      <c r="A175" s="62"/>
      <c r="B175" s="92"/>
      <c r="C175" s="92"/>
      <c r="D175" s="118"/>
      <c r="E175" s="137"/>
      <c r="F175" s="92"/>
      <c r="G175" s="96"/>
      <c r="H175" s="97"/>
      <c r="I175" s="96"/>
      <c r="J175" s="218"/>
      <c r="K175" s="62"/>
    </row>
    <row r="176" spans="1:11" ht="17">
      <c r="A176" s="62"/>
      <c r="B176" s="101">
        <v>17000</v>
      </c>
      <c r="C176" s="95"/>
      <c r="D176" s="118" t="s">
        <v>521</v>
      </c>
      <c r="E176" s="137"/>
      <c r="F176" s="92"/>
      <c r="G176" s="96"/>
      <c r="H176" s="97"/>
      <c r="I176" s="96"/>
      <c r="K176" s="62"/>
    </row>
    <row r="177" spans="1:11" ht="35" customHeight="1">
      <c r="A177" s="62"/>
      <c r="B177" s="98">
        <v>17100</v>
      </c>
      <c r="C177" s="95"/>
      <c r="D177" s="107" t="s">
        <v>549</v>
      </c>
      <c r="E177" s="137">
        <v>0.4</v>
      </c>
      <c r="F177" s="92" t="s">
        <v>94</v>
      </c>
      <c r="G177" s="96">
        <v>15670</v>
      </c>
      <c r="H177" s="97">
        <f>E177*G177</f>
        <v>6268</v>
      </c>
      <c r="I177" s="96"/>
      <c r="K177" s="62"/>
    </row>
    <row r="178" spans="1:11" ht="11" customHeight="1">
      <c r="A178" s="62"/>
      <c r="B178" s="98"/>
      <c r="C178" s="95"/>
      <c r="D178" s="107"/>
      <c r="E178" s="137"/>
      <c r="F178" s="92"/>
      <c r="G178" s="96"/>
      <c r="H178" s="97"/>
      <c r="I178" s="96"/>
      <c r="K178" s="62"/>
    </row>
    <row r="179" spans="1:11" ht="14" customHeight="1">
      <c r="A179" s="62"/>
      <c r="B179" s="100">
        <v>17200</v>
      </c>
      <c r="C179" s="92"/>
      <c r="D179" s="107" t="s">
        <v>522</v>
      </c>
      <c r="E179" s="137"/>
      <c r="F179" s="92" t="s">
        <v>58</v>
      </c>
      <c r="G179" s="96"/>
      <c r="H179" s="97">
        <f>E179*G179</f>
        <v>0</v>
      </c>
      <c r="I179" s="96"/>
      <c r="J179" s="218"/>
      <c r="K179" s="71"/>
    </row>
    <row r="180" spans="1:11" ht="16">
      <c r="A180" s="62"/>
      <c r="B180" s="100"/>
      <c r="C180" s="92"/>
      <c r="D180" s="107"/>
      <c r="E180" s="137"/>
      <c r="F180" s="92"/>
      <c r="G180" s="96"/>
      <c r="H180" s="97"/>
      <c r="I180" s="96"/>
      <c r="J180" s="218"/>
      <c r="K180" s="62"/>
    </row>
    <row r="181" spans="1:11" ht="16">
      <c r="A181" s="62"/>
      <c r="B181" s="100"/>
      <c r="C181" s="92"/>
      <c r="D181" s="107"/>
      <c r="E181" s="137"/>
      <c r="F181" s="92"/>
      <c r="G181" s="96"/>
      <c r="H181" s="99"/>
      <c r="I181" s="96"/>
      <c r="J181" s="218"/>
      <c r="K181" s="62"/>
    </row>
    <row r="182" spans="1:11" ht="16">
      <c r="A182" s="62"/>
      <c r="B182" s="92"/>
      <c r="C182" s="92"/>
      <c r="D182" s="107"/>
      <c r="E182" s="137"/>
      <c r="F182" s="92"/>
      <c r="G182" s="96"/>
      <c r="H182" s="97"/>
      <c r="I182" s="96"/>
      <c r="J182" s="218"/>
      <c r="K182" s="62"/>
    </row>
    <row r="183" spans="1:11" ht="17">
      <c r="A183" s="62"/>
      <c r="B183" s="92"/>
      <c r="C183" s="92"/>
      <c r="D183" s="118" t="s">
        <v>89</v>
      </c>
      <c r="E183" s="137"/>
      <c r="F183" s="92"/>
      <c r="G183" s="96"/>
      <c r="H183" s="97">
        <f>SUM(H177:H181)</f>
        <v>6268</v>
      </c>
      <c r="I183" s="96">
        <f>H183/H17</f>
        <v>0.71880733944954134</v>
      </c>
      <c r="J183" s="218" t="s">
        <v>622</v>
      </c>
      <c r="K183" s="62"/>
    </row>
    <row r="184" spans="1:11" ht="16">
      <c r="A184" s="62"/>
      <c r="B184" s="92"/>
      <c r="C184" s="92"/>
      <c r="D184" s="107"/>
      <c r="E184" s="137"/>
      <c r="F184" s="92"/>
      <c r="G184" s="96"/>
      <c r="H184" s="97"/>
      <c r="I184" s="96"/>
      <c r="J184" s="218"/>
      <c r="K184" s="62"/>
    </row>
    <row r="185" spans="1:11" ht="16">
      <c r="A185" s="62"/>
      <c r="B185" s="92"/>
      <c r="C185" s="92"/>
      <c r="D185" s="107"/>
      <c r="E185" s="137"/>
      <c r="F185" s="92"/>
      <c r="G185" s="96"/>
      <c r="H185" s="97"/>
      <c r="I185" s="96"/>
      <c r="K185" s="62"/>
    </row>
    <row r="186" spans="1:11" ht="17">
      <c r="A186" s="62"/>
      <c r="B186" s="92"/>
      <c r="C186" s="92"/>
      <c r="D186" s="119" t="s">
        <v>153</v>
      </c>
      <c r="E186" s="137"/>
      <c r="F186" s="92"/>
      <c r="G186" s="96"/>
      <c r="H186" s="104">
        <f>SUM(H30+H39+H48+H58+H79+H89+H98+H66+H115+H126+H136+H144+H147+H155+H174+H183+H166+H160)</f>
        <v>1103692.5</v>
      </c>
      <c r="I186" s="105">
        <f>H186/H17</f>
        <v>126.57024082568807</v>
      </c>
      <c r="J186" s="164"/>
    </row>
    <row r="187" spans="1:11" ht="18" thickBot="1">
      <c r="A187" s="62"/>
      <c r="B187" s="92"/>
      <c r="C187" s="92"/>
      <c r="D187" s="120" t="s">
        <v>510</v>
      </c>
      <c r="E187" s="137"/>
      <c r="F187" s="92"/>
      <c r="G187" s="96"/>
      <c r="H187" s="109">
        <f>'Systems Summary'!I137</f>
        <v>1247743.4875</v>
      </c>
      <c r="I187" s="110">
        <f>'Systems Summary'!J137</f>
        <v>143.08984948394496</v>
      </c>
      <c r="J187" s="173" t="s">
        <v>508</v>
      </c>
    </row>
    <row r="188" spans="1:11" ht="17" thickBot="1">
      <c r="A188" s="91"/>
      <c r="B188" s="106"/>
      <c r="C188" s="106"/>
      <c r="D188" s="121"/>
      <c r="E188" s="139"/>
      <c r="F188" s="106"/>
      <c r="G188" s="106"/>
      <c r="H188" s="106"/>
      <c r="I188" s="106"/>
      <c r="J188" s="174"/>
    </row>
    <row r="189" spans="1:11" ht="15" thickTop="1"/>
    <row r="190" spans="1:11" ht="42">
      <c r="D190" s="145" t="s">
        <v>558</v>
      </c>
      <c r="K190" s="145" t="s">
        <v>558</v>
      </c>
    </row>
    <row r="191" spans="1:11" ht="15" thickBot="1">
      <c r="H191" s="217">
        <f>H186</f>
        <v>1103692.5</v>
      </c>
    </row>
    <row r="192" spans="1:11">
      <c r="C192" s="59"/>
      <c r="D192" s="123"/>
      <c r="E192" s="140"/>
    </row>
    <row r="193" spans="3:8">
      <c r="C193" s="62"/>
      <c r="D193" s="124" t="s">
        <v>483</v>
      </c>
      <c r="E193" s="141"/>
    </row>
    <row r="194" spans="3:8">
      <c r="C194" s="62"/>
      <c r="E194" s="141"/>
      <c r="H194" s="217">
        <f>H187+407321</f>
        <v>1655064.4875</v>
      </c>
    </row>
    <row r="195" spans="3:8">
      <c r="C195" s="62"/>
      <c r="D195" s="125" t="s">
        <v>479</v>
      </c>
      <c r="E195" s="141"/>
      <c r="H195">
        <v>589431</v>
      </c>
    </row>
    <row r="196" spans="3:8">
      <c r="C196" s="62"/>
      <c r="D196" s="126" t="s">
        <v>480</v>
      </c>
      <c r="E196" s="141"/>
      <c r="H196" s="217">
        <f>H194-H195</f>
        <v>1065633.4875</v>
      </c>
    </row>
    <row r="197" spans="3:8">
      <c r="C197" s="62"/>
      <c r="D197" s="127" t="s">
        <v>481</v>
      </c>
      <c r="E197" s="141"/>
    </row>
    <row r="198" spans="3:8">
      <c r="C198" s="62"/>
      <c r="D198" s="128" t="s">
        <v>482</v>
      </c>
      <c r="E198" s="141"/>
    </row>
    <row r="199" spans="3:8" ht="15" thickBot="1">
      <c r="C199" s="64"/>
      <c r="D199" s="129"/>
      <c r="E199" s="142"/>
    </row>
  </sheetData>
  <mergeCells count="4">
    <mergeCell ref="J37:L37"/>
    <mergeCell ref="J56:L56"/>
    <mergeCell ref="J61:L61"/>
    <mergeCell ref="J76:L76"/>
  </mergeCells>
  <phoneticPr fontId="0" type="noConversion"/>
  <pageMargins left="0.5" right="0.5" top="1" bottom="1" header="0.5" footer="0.5"/>
  <pageSetup scale="53" fitToWidth="3" fitToHeight="3" orientation="portrait"/>
  <headerFooter alignWithMargins="0"/>
  <rowBreaks count="1" manualBreakCount="1">
    <brk id="82" max="9" man="1"/>
  </rowBreaks>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3:I110"/>
  <sheetViews>
    <sheetView topLeftCell="A71" zoomScale="125" zoomScaleNormal="125" workbookViewId="0">
      <selection activeCell="D110" sqref="D110"/>
    </sheetView>
  </sheetViews>
  <sheetFormatPr baseColWidth="10" defaultColWidth="8.83203125" defaultRowHeight="13"/>
  <cols>
    <col min="1" max="1" width="1.6640625" customWidth="1"/>
    <col min="2" max="2" width="5.83203125" style="9" customWidth="1"/>
    <col min="3" max="3" width="35.5" customWidth="1"/>
    <col min="4" max="4" width="10.33203125" customWidth="1"/>
    <col min="5" max="5" width="7.6640625" customWidth="1"/>
    <col min="6" max="6" width="10.6640625" style="14" customWidth="1"/>
    <col min="7" max="7" width="13.5" style="14" bestFit="1" customWidth="1"/>
    <col min="8" max="8" width="1.6640625" customWidth="1"/>
    <col min="9" max="9" width="35.5" customWidth="1"/>
  </cols>
  <sheetData>
    <row r="3" spans="2:9">
      <c r="B3" s="2"/>
    </row>
    <row r="4" spans="2:9">
      <c r="B4" s="2"/>
    </row>
    <row r="5" spans="2:9">
      <c r="B5" s="2"/>
      <c r="C5" s="20" t="s">
        <v>237</v>
      </c>
      <c r="D5" s="57"/>
    </row>
    <row r="6" spans="2:9">
      <c r="B6" s="2"/>
      <c r="C6" s="20" t="s">
        <v>238</v>
      </c>
      <c r="D6" s="20"/>
    </row>
    <row r="7" spans="2:9">
      <c r="B7" s="2"/>
    </row>
    <row r="9" spans="2:9">
      <c r="B9" s="29" t="s">
        <v>205</v>
      </c>
      <c r="C9" s="30"/>
      <c r="D9" s="30"/>
      <c r="E9" s="30"/>
      <c r="F9" s="33" t="s">
        <v>14</v>
      </c>
      <c r="G9" s="33" t="s">
        <v>39</v>
      </c>
    </row>
    <row r="10" spans="2:9" ht="14" thickBot="1">
      <c r="B10" s="31" t="s">
        <v>206</v>
      </c>
      <c r="C10" s="31" t="s">
        <v>12</v>
      </c>
      <c r="D10" s="31" t="s">
        <v>38</v>
      </c>
      <c r="E10" s="31" t="s">
        <v>14</v>
      </c>
      <c r="F10" s="34" t="s">
        <v>15</v>
      </c>
      <c r="G10" s="34" t="s">
        <v>15</v>
      </c>
      <c r="I10" s="9"/>
    </row>
    <row r="11" spans="2:9" ht="14" thickTop="1">
      <c r="C11" s="9"/>
      <c r="D11" s="9"/>
      <c r="E11" s="9"/>
      <c r="F11" s="35"/>
      <c r="G11" s="35"/>
    </row>
    <row r="12" spans="2:9">
      <c r="B12" s="32" t="s">
        <v>249</v>
      </c>
      <c r="C12" s="32"/>
    </row>
    <row r="13" spans="2:9">
      <c r="B13" s="9">
        <v>1</v>
      </c>
      <c r="C13" t="s">
        <v>207</v>
      </c>
      <c r="E13" t="s">
        <v>304</v>
      </c>
      <c r="F13" s="14">
        <f>120*40</f>
        <v>4800</v>
      </c>
      <c r="G13" s="14">
        <f>D13*F13</f>
        <v>0</v>
      </c>
    </row>
    <row r="14" spans="2:9">
      <c r="B14" s="9">
        <v>2</v>
      </c>
      <c r="C14" t="s">
        <v>208</v>
      </c>
      <c r="D14">
        <v>19</v>
      </c>
      <c r="E14" t="s">
        <v>304</v>
      </c>
      <c r="F14" s="14">
        <f>55*30</f>
        <v>1650</v>
      </c>
      <c r="G14" s="14">
        <f>D14*F14*38%</f>
        <v>11913</v>
      </c>
    </row>
    <row r="15" spans="2:9">
      <c r="B15" s="9">
        <v>3</v>
      </c>
      <c r="C15" t="s">
        <v>209</v>
      </c>
      <c r="E15" t="s">
        <v>304</v>
      </c>
      <c r="G15" s="14">
        <f t="shared" ref="G15:G27" si="0">D15*F15</f>
        <v>0</v>
      </c>
    </row>
    <row r="16" spans="2:9">
      <c r="B16" s="9">
        <v>4</v>
      </c>
      <c r="C16" t="s">
        <v>210</v>
      </c>
      <c r="D16">
        <v>16</v>
      </c>
      <c r="E16" t="s">
        <v>304</v>
      </c>
      <c r="F16" s="14">
        <f>87*32</f>
        <v>2784</v>
      </c>
      <c r="G16" s="14">
        <f>D16*F16*38%</f>
        <v>16926.72</v>
      </c>
    </row>
    <row r="17" spans="2:7">
      <c r="B17" s="9">
        <v>5</v>
      </c>
      <c r="C17" t="s">
        <v>516</v>
      </c>
      <c r="E17" t="s">
        <v>304</v>
      </c>
      <c r="G17" s="14">
        <f t="shared" si="0"/>
        <v>0</v>
      </c>
    </row>
    <row r="18" spans="2:7">
      <c r="B18" s="9">
        <v>6</v>
      </c>
      <c r="C18" t="s">
        <v>517</v>
      </c>
      <c r="E18" t="s">
        <v>304</v>
      </c>
      <c r="G18" s="14">
        <f t="shared" si="0"/>
        <v>0</v>
      </c>
    </row>
    <row r="19" spans="2:7">
      <c r="B19" s="9">
        <v>7</v>
      </c>
      <c r="C19" t="s">
        <v>211</v>
      </c>
      <c r="E19" t="s">
        <v>304</v>
      </c>
      <c r="G19" s="14">
        <f t="shared" si="0"/>
        <v>0</v>
      </c>
    </row>
    <row r="20" spans="2:7">
      <c r="B20" s="9">
        <v>8</v>
      </c>
      <c r="C20" t="s">
        <v>212</v>
      </c>
      <c r="E20" t="s">
        <v>303</v>
      </c>
      <c r="G20" s="14">
        <f t="shared" si="0"/>
        <v>0</v>
      </c>
    </row>
    <row r="21" spans="2:7">
      <c r="B21" s="9">
        <v>9</v>
      </c>
      <c r="C21" t="s">
        <v>213</v>
      </c>
      <c r="E21" t="s">
        <v>304</v>
      </c>
      <c r="G21" s="14">
        <f t="shared" si="0"/>
        <v>0</v>
      </c>
    </row>
    <row r="22" spans="2:7">
      <c r="B22" s="9">
        <v>10</v>
      </c>
      <c r="C22" t="s">
        <v>214</v>
      </c>
      <c r="D22">
        <v>7</v>
      </c>
      <c r="E22" t="s">
        <v>305</v>
      </c>
      <c r="F22" s="14">
        <f>50*43</f>
        <v>2150</v>
      </c>
      <c r="G22" s="14">
        <f>D22*F22*38%</f>
        <v>5719</v>
      </c>
    </row>
    <row r="23" spans="2:7">
      <c r="B23" s="9">
        <v>11</v>
      </c>
      <c r="C23" t="s">
        <v>215</v>
      </c>
      <c r="E23" t="s">
        <v>303</v>
      </c>
      <c r="G23" s="14">
        <f t="shared" si="0"/>
        <v>0</v>
      </c>
    </row>
    <row r="24" spans="2:7">
      <c r="B24" s="9">
        <v>12</v>
      </c>
      <c r="C24" t="s">
        <v>216</v>
      </c>
      <c r="E24" t="s">
        <v>304</v>
      </c>
      <c r="G24" s="14">
        <f t="shared" si="0"/>
        <v>0</v>
      </c>
    </row>
    <row r="25" spans="2:7">
      <c r="B25" s="9">
        <v>13</v>
      </c>
      <c r="C25" t="s">
        <v>217</v>
      </c>
      <c r="E25" t="s">
        <v>304</v>
      </c>
      <c r="G25" s="14">
        <f t="shared" si="0"/>
        <v>0</v>
      </c>
    </row>
    <row r="26" spans="2:7">
      <c r="B26" s="9">
        <v>14</v>
      </c>
      <c r="C26" t="s">
        <v>218</v>
      </c>
      <c r="D26">
        <v>88</v>
      </c>
      <c r="E26" t="s">
        <v>303</v>
      </c>
      <c r="F26" s="14">
        <v>87</v>
      </c>
      <c r="G26" s="14">
        <f>D26*F26*38%</f>
        <v>2909.28</v>
      </c>
    </row>
    <row r="27" spans="2:7">
      <c r="B27" s="9">
        <v>15</v>
      </c>
      <c r="C27" t="s">
        <v>219</v>
      </c>
      <c r="E27" t="s">
        <v>303</v>
      </c>
      <c r="F27" s="14">
        <v>65</v>
      </c>
      <c r="G27" s="14">
        <f t="shared" si="0"/>
        <v>0</v>
      </c>
    </row>
    <row r="29" spans="2:7">
      <c r="B29" s="32" t="s">
        <v>250</v>
      </c>
      <c r="C29" s="32"/>
    </row>
    <row r="30" spans="2:7">
      <c r="B30" s="9">
        <v>16</v>
      </c>
      <c r="C30" t="s">
        <v>240</v>
      </c>
      <c r="E30" t="s">
        <v>305</v>
      </c>
      <c r="G30" s="14">
        <f t="shared" ref="G30:G44" si="1">D30*F30</f>
        <v>0</v>
      </c>
    </row>
    <row r="31" spans="2:7">
      <c r="B31" s="9">
        <v>17</v>
      </c>
      <c r="C31" t="s">
        <v>239</v>
      </c>
      <c r="E31" t="s">
        <v>305</v>
      </c>
      <c r="F31" s="14">
        <v>500</v>
      </c>
      <c r="G31" s="14">
        <f t="shared" si="1"/>
        <v>0</v>
      </c>
    </row>
    <row r="32" spans="2:7">
      <c r="B32" s="9">
        <v>18</v>
      </c>
      <c r="C32" t="s">
        <v>468</v>
      </c>
      <c r="E32" t="s">
        <v>94</v>
      </c>
      <c r="F32" s="14">
        <v>1500</v>
      </c>
      <c r="G32" s="14">
        <f t="shared" si="1"/>
        <v>0</v>
      </c>
    </row>
    <row r="33" spans="2:7">
      <c r="B33" s="9">
        <v>19</v>
      </c>
      <c r="C33" t="s">
        <v>241</v>
      </c>
      <c r="E33" t="s">
        <v>94</v>
      </c>
      <c r="F33" s="14">
        <v>3500</v>
      </c>
      <c r="G33" s="14">
        <f t="shared" si="1"/>
        <v>0</v>
      </c>
    </row>
    <row r="34" spans="2:7">
      <c r="B34" s="9">
        <v>20</v>
      </c>
      <c r="C34" t="s">
        <v>470</v>
      </c>
      <c r="E34" t="s">
        <v>94</v>
      </c>
      <c r="F34" s="14">
        <v>1800</v>
      </c>
      <c r="G34" s="14">
        <f t="shared" si="1"/>
        <v>0</v>
      </c>
    </row>
    <row r="35" spans="2:7">
      <c r="B35" s="9">
        <v>21</v>
      </c>
      <c r="C35" t="s">
        <v>242</v>
      </c>
      <c r="E35" t="s">
        <v>305</v>
      </c>
      <c r="F35" s="14">
        <v>125</v>
      </c>
      <c r="G35" s="14">
        <f t="shared" si="1"/>
        <v>0</v>
      </c>
    </row>
    <row r="36" spans="2:7">
      <c r="B36" s="9">
        <v>22</v>
      </c>
      <c r="C36" t="s">
        <v>243</v>
      </c>
      <c r="E36" t="s">
        <v>94</v>
      </c>
      <c r="F36" s="14">
        <v>500</v>
      </c>
      <c r="G36" s="14">
        <f t="shared" si="1"/>
        <v>0</v>
      </c>
    </row>
    <row r="37" spans="2:7">
      <c r="B37" s="9">
        <v>23</v>
      </c>
      <c r="C37" t="s">
        <v>466</v>
      </c>
      <c r="E37" t="s">
        <v>305</v>
      </c>
      <c r="F37" s="14">
        <v>125</v>
      </c>
      <c r="G37" s="14">
        <f t="shared" si="1"/>
        <v>0</v>
      </c>
    </row>
    <row r="38" spans="2:7">
      <c r="B38" s="9">
        <v>24</v>
      </c>
      <c r="C38" t="s">
        <v>469</v>
      </c>
      <c r="E38" t="s">
        <v>305</v>
      </c>
      <c r="F38" s="14">
        <v>275</v>
      </c>
      <c r="G38" s="14">
        <f t="shared" si="1"/>
        <v>0</v>
      </c>
    </row>
    <row r="39" spans="2:7">
      <c r="B39" s="9">
        <v>25</v>
      </c>
      <c r="C39" t="s">
        <v>244</v>
      </c>
      <c r="D39">
        <v>2</v>
      </c>
      <c r="E39" t="s">
        <v>119</v>
      </c>
      <c r="F39" s="14">
        <v>225</v>
      </c>
      <c r="G39" s="14">
        <f>D39*F39*38%</f>
        <v>171</v>
      </c>
    </row>
    <row r="40" spans="2:7">
      <c r="B40" s="9">
        <v>26</v>
      </c>
      <c r="C40" t="s">
        <v>245</v>
      </c>
      <c r="E40" t="s">
        <v>305</v>
      </c>
      <c r="G40" s="14">
        <f t="shared" si="1"/>
        <v>0</v>
      </c>
    </row>
    <row r="41" spans="2:7">
      <c r="B41" s="9">
        <v>27</v>
      </c>
      <c r="C41" t="s">
        <v>246</v>
      </c>
      <c r="E41" t="s">
        <v>94</v>
      </c>
      <c r="G41" s="14">
        <f t="shared" si="1"/>
        <v>0</v>
      </c>
    </row>
    <row r="42" spans="2:7">
      <c r="B42" s="9">
        <v>28</v>
      </c>
      <c r="C42" t="s">
        <v>494</v>
      </c>
      <c r="D42">
        <v>1</v>
      </c>
      <c r="E42" t="s">
        <v>94</v>
      </c>
      <c r="F42" s="14">
        <v>720</v>
      </c>
      <c r="G42" s="14">
        <f>D42*F42*38%</f>
        <v>273.60000000000002</v>
      </c>
    </row>
    <row r="43" spans="2:7">
      <c r="B43" s="9">
        <v>29</v>
      </c>
      <c r="C43" t="s">
        <v>247</v>
      </c>
      <c r="E43" t="s">
        <v>94</v>
      </c>
      <c r="G43" s="14">
        <f t="shared" si="1"/>
        <v>0</v>
      </c>
    </row>
    <row r="44" spans="2:7">
      <c r="B44" s="9">
        <v>30</v>
      </c>
      <c r="C44" t="s">
        <v>248</v>
      </c>
      <c r="E44" t="s">
        <v>305</v>
      </c>
      <c r="F44" s="14">
        <v>1250</v>
      </c>
      <c r="G44" s="14">
        <f t="shared" si="1"/>
        <v>0</v>
      </c>
    </row>
    <row r="46" spans="2:7">
      <c r="B46" s="32" t="s">
        <v>251</v>
      </c>
    </row>
    <row r="47" spans="2:7">
      <c r="B47" s="9">
        <v>31</v>
      </c>
      <c r="C47" t="s">
        <v>252</v>
      </c>
      <c r="E47" t="s">
        <v>305</v>
      </c>
      <c r="F47" s="14">
        <v>575</v>
      </c>
      <c r="G47" s="14">
        <f>D47*F47</f>
        <v>0</v>
      </c>
    </row>
    <row r="48" spans="2:7">
      <c r="B48" s="9">
        <v>32</v>
      </c>
      <c r="C48" t="s">
        <v>253</v>
      </c>
      <c r="E48" t="s">
        <v>305</v>
      </c>
      <c r="F48" s="14">
        <v>250</v>
      </c>
      <c r="G48" s="14">
        <f>D48*F48</f>
        <v>0</v>
      </c>
    </row>
    <row r="49" spans="2:7">
      <c r="B49" s="9">
        <v>33</v>
      </c>
      <c r="C49" t="s">
        <v>254</v>
      </c>
      <c r="E49" t="s">
        <v>94</v>
      </c>
      <c r="G49" s="14">
        <f>D49*F49</f>
        <v>0</v>
      </c>
    </row>
    <row r="50" spans="2:7">
      <c r="B50" s="9">
        <v>34</v>
      </c>
      <c r="C50" t="s">
        <v>255</v>
      </c>
      <c r="E50" t="s">
        <v>304</v>
      </c>
      <c r="F50" s="14">
        <v>550</v>
      </c>
      <c r="G50" s="14">
        <f>D50*F50</f>
        <v>0</v>
      </c>
    </row>
    <row r="52" spans="2:7">
      <c r="B52" s="32" t="s">
        <v>256</v>
      </c>
    </row>
    <row r="53" spans="2:7">
      <c r="B53" s="9">
        <v>35</v>
      </c>
      <c r="C53" t="s">
        <v>257</v>
      </c>
      <c r="E53" t="s">
        <v>305</v>
      </c>
      <c r="G53" s="14">
        <f t="shared" ref="G53:G58" si="2">D53*F53</f>
        <v>0</v>
      </c>
    </row>
    <row r="54" spans="2:7">
      <c r="B54" s="9">
        <v>36</v>
      </c>
      <c r="C54" t="s">
        <v>258</v>
      </c>
      <c r="D54">
        <v>4</v>
      </c>
      <c r="E54" t="s">
        <v>305</v>
      </c>
      <c r="F54" s="14">
        <v>125</v>
      </c>
      <c r="G54" s="14">
        <f>D54*F54*38%</f>
        <v>190</v>
      </c>
    </row>
    <row r="55" spans="2:7">
      <c r="B55" s="9">
        <v>37</v>
      </c>
      <c r="C55" t="s">
        <v>259</v>
      </c>
      <c r="E55" t="s">
        <v>305</v>
      </c>
      <c r="F55" s="14">
        <v>100</v>
      </c>
      <c r="G55" s="14">
        <f t="shared" si="2"/>
        <v>0</v>
      </c>
    </row>
    <row r="56" spans="2:7">
      <c r="B56" s="9">
        <v>38</v>
      </c>
      <c r="C56" t="s">
        <v>261</v>
      </c>
      <c r="E56" t="s">
        <v>94</v>
      </c>
      <c r="F56" s="14">
        <v>25000</v>
      </c>
      <c r="G56" s="14">
        <f t="shared" si="2"/>
        <v>0</v>
      </c>
    </row>
    <row r="57" spans="2:7">
      <c r="B57" s="9">
        <v>39</v>
      </c>
      <c r="C57" t="s">
        <v>260</v>
      </c>
      <c r="D57">
        <v>4</v>
      </c>
      <c r="E57" t="s">
        <v>94</v>
      </c>
      <c r="F57" s="14">
        <v>650</v>
      </c>
      <c r="G57" s="14">
        <f>D57*F57*38%</f>
        <v>988</v>
      </c>
    </row>
    <row r="58" spans="2:7">
      <c r="B58" s="9">
        <v>40</v>
      </c>
      <c r="C58" t="s">
        <v>262</v>
      </c>
      <c r="E58" t="s">
        <v>94</v>
      </c>
      <c r="G58" s="14">
        <f t="shared" si="2"/>
        <v>0</v>
      </c>
    </row>
    <row r="60" spans="2:7">
      <c r="B60" s="32" t="s">
        <v>263</v>
      </c>
    </row>
    <row r="61" spans="2:7">
      <c r="B61" s="9">
        <v>41</v>
      </c>
      <c r="C61" t="s">
        <v>264</v>
      </c>
      <c r="D61">
        <v>5</v>
      </c>
      <c r="E61" t="s">
        <v>303</v>
      </c>
      <c r="F61" s="14">
        <v>65</v>
      </c>
      <c r="G61" s="14">
        <f>D61*F61*38%</f>
        <v>123.5</v>
      </c>
    </row>
    <row r="62" spans="2:7">
      <c r="B62" s="9">
        <v>42</v>
      </c>
      <c r="C62" t="s">
        <v>265</v>
      </c>
      <c r="D62">
        <v>14</v>
      </c>
      <c r="E62" t="s">
        <v>303</v>
      </c>
      <c r="F62" s="14">
        <v>45</v>
      </c>
      <c r="G62" s="14">
        <f>D62*F62*38%</f>
        <v>239.4</v>
      </c>
    </row>
    <row r="63" spans="2:7">
      <c r="B63" s="9">
        <v>43</v>
      </c>
      <c r="C63" t="s">
        <v>266</v>
      </c>
      <c r="D63">
        <v>30</v>
      </c>
      <c r="E63" t="s">
        <v>119</v>
      </c>
      <c r="F63" s="14">
        <v>560</v>
      </c>
      <c r="G63" s="14">
        <f>D63*F63*38%</f>
        <v>6384</v>
      </c>
    </row>
    <row r="64" spans="2:7">
      <c r="B64" s="9">
        <v>44</v>
      </c>
      <c r="C64" t="s">
        <v>267</v>
      </c>
      <c r="E64" t="s">
        <v>120</v>
      </c>
      <c r="F64" s="14">
        <v>6.85</v>
      </c>
      <c r="G64" s="14">
        <f t="shared" ref="G64:G72" si="3">D64*F64</f>
        <v>0</v>
      </c>
    </row>
    <row r="65" spans="2:7">
      <c r="B65" s="9">
        <v>45</v>
      </c>
      <c r="C65" t="s">
        <v>268</v>
      </c>
      <c r="E65" t="s">
        <v>120</v>
      </c>
      <c r="F65" s="14">
        <v>25</v>
      </c>
      <c r="G65" s="14">
        <f t="shared" si="3"/>
        <v>0</v>
      </c>
    </row>
    <row r="66" spans="2:7">
      <c r="B66" s="9">
        <v>46</v>
      </c>
      <c r="C66" t="s">
        <v>269</v>
      </c>
      <c r="E66" t="s">
        <v>120</v>
      </c>
      <c r="G66" s="14">
        <f t="shared" si="3"/>
        <v>0</v>
      </c>
    </row>
    <row r="67" spans="2:7">
      <c r="B67" s="9">
        <v>47</v>
      </c>
      <c r="C67" t="s">
        <v>270</v>
      </c>
      <c r="E67" t="s">
        <v>120</v>
      </c>
      <c r="F67" s="14">
        <v>12</v>
      </c>
      <c r="G67" s="14">
        <f t="shared" si="3"/>
        <v>0</v>
      </c>
    </row>
    <row r="68" spans="2:7">
      <c r="B68" s="9">
        <v>48</v>
      </c>
      <c r="C68" t="s">
        <v>271</v>
      </c>
      <c r="E68" t="s">
        <v>119</v>
      </c>
      <c r="F68" s="14">
        <v>65</v>
      </c>
      <c r="G68" s="14">
        <f t="shared" si="3"/>
        <v>0</v>
      </c>
    </row>
    <row r="69" spans="2:7">
      <c r="B69" s="9">
        <v>49</v>
      </c>
      <c r="C69" t="s">
        <v>272</v>
      </c>
      <c r="E69" t="s">
        <v>119</v>
      </c>
      <c r="F69" s="14">
        <v>525</v>
      </c>
      <c r="G69" s="14">
        <f t="shared" si="3"/>
        <v>0</v>
      </c>
    </row>
    <row r="70" spans="2:7">
      <c r="B70" s="9">
        <v>50</v>
      </c>
      <c r="C70" t="s">
        <v>275</v>
      </c>
      <c r="E70" t="s">
        <v>303</v>
      </c>
      <c r="F70" s="14">
        <v>58</v>
      </c>
      <c r="G70" s="14">
        <f t="shared" si="3"/>
        <v>0</v>
      </c>
    </row>
    <row r="71" spans="2:7">
      <c r="B71" s="9">
        <v>51</v>
      </c>
      <c r="C71" t="s">
        <v>274</v>
      </c>
      <c r="D71">
        <v>1.2</v>
      </c>
      <c r="E71" t="s">
        <v>94</v>
      </c>
      <c r="F71" s="14">
        <f>0.23*8000</f>
        <v>1840</v>
      </c>
      <c r="G71" s="14">
        <f>D71*F71*38%</f>
        <v>839.04</v>
      </c>
    </row>
    <row r="72" spans="2:7">
      <c r="B72" s="9">
        <v>52</v>
      </c>
      <c r="C72" t="s">
        <v>273</v>
      </c>
      <c r="E72" t="s">
        <v>94</v>
      </c>
      <c r="G72" s="14">
        <f t="shared" si="3"/>
        <v>0</v>
      </c>
    </row>
    <row r="74" spans="2:7">
      <c r="B74" s="32" t="s">
        <v>276</v>
      </c>
    </row>
    <row r="75" spans="2:7">
      <c r="B75" s="9">
        <v>53</v>
      </c>
      <c r="C75" t="s">
        <v>277</v>
      </c>
      <c r="E75" t="s">
        <v>119</v>
      </c>
      <c r="F75" s="14">
        <v>2500</v>
      </c>
      <c r="G75" s="14">
        <f t="shared" ref="G75:G85" si="4">D75*F75</f>
        <v>0</v>
      </c>
    </row>
    <row r="76" spans="2:7">
      <c r="B76" s="9">
        <v>54</v>
      </c>
      <c r="C76" t="s">
        <v>278</v>
      </c>
      <c r="E76" t="s">
        <v>119</v>
      </c>
      <c r="G76" s="14">
        <f t="shared" si="4"/>
        <v>0</v>
      </c>
    </row>
    <row r="77" spans="2:7">
      <c r="B77" s="9">
        <v>55</v>
      </c>
      <c r="C77" t="s">
        <v>279</v>
      </c>
      <c r="E77" t="s">
        <v>305</v>
      </c>
      <c r="F77" s="14">
        <v>600</v>
      </c>
      <c r="G77" s="14">
        <f t="shared" si="4"/>
        <v>0</v>
      </c>
    </row>
    <row r="78" spans="2:7">
      <c r="B78" s="9">
        <v>56</v>
      </c>
      <c r="C78" t="s">
        <v>280</v>
      </c>
      <c r="E78" t="s">
        <v>119</v>
      </c>
      <c r="F78" s="14">
        <v>1850</v>
      </c>
      <c r="G78" s="14">
        <f t="shared" si="4"/>
        <v>0</v>
      </c>
    </row>
    <row r="79" spans="2:7">
      <c r="B79" s="9">
        <v>57</v>
      </c>
      <c r="C79" t="s">
        <v>281</v>
      </c>
      <c r="E79" t="s">
        <v>305</v>
      </c>
      <c r="F79" s="14">
        <v>150</v>
      </c>
      <c r="G79" s="14">
        <f t="shared" si="4"/>
        <v>0</v>
      </c>
    </row>
    <row r="80" spans="2:7">
      <c r="B80" s="9">
        <v>58</v>
      </c>
      <c r="C80" t="s">
        <v>282</v>
      </c>
      <c r="E80" t="s">
        <v>119</v>
      </c>
      <c r="F80" s="14">
        <v>1200</v>
      </c>
      <c r="G80" s="14">
        <f t="shared" si="4"/>
        <v>0</v>
      </c>
    </row>
    <row r="81" spans="2:7">
      <c r="B81" s="9">
        <v>59</v>
      </c>
      <c r="C81" t="s">
        <v>283</v>
      </c>
      <c r="E81" t="s">
        <v>305</v>
      </c>
      <c r="F81" s="14">
        <v>75</v>
      </c>
      <c r="G81" s="14">
        <f t="shared" si="4"/>
        <v>0</v>
      </c>
    </row>
    <row r="82" spans="2:7">
      <c r="B82" s="9">
        <v>60</v>
      </c>
      <c r="C82" t="s">
        <v>284</v>
      </c>
      <c r="E82" t="s">
        <v>305</v>
      </c>
      <c r="F82" s="14">
        <v>90</v>
      </c>
      <c r="G82" s="14">
        <f t="shared" si="4"/>
        <v>0</v>
      </c>
    </row>
    <row r="83" spans="2:7">
      <c r="B83" s="9">
        <v>61</v>
      </c>
      <c r="C83" t="s">
        <v>285</v>
      </c>
      <c r="E83" t="s">
        <v>305</v>
      </c>
      <c r="G83" s="14">
        <f t="shared" si="4"/>
        <v>0</v>
      </c>
    </row>
    <row r="84" spans="2:7">
      <c r="B84" s="9">
        <v>62</v>
      </c>
      <c r="C84" t="s">
        <v>286</v>
      </c>
      <c r="E84" t="s">
        <v>305</v>
      </c>
      <c r="G84" s="14">
        <f t="shared" si="4"/>
        <v>0</v>
      </c>
    </row>
    <row r="85" spans="2:7">
      <c r="B85" s="9">
        <v>63</v>
      </c>
      <c r="C85" t="s">
        <v>287</v>
      </c>
      <c r="E85" t="s">
        <v>306</v>
      </c>
      <c r="F85" s="14">
        <v>150</v>
      </c>
      <c r="G85" s="14">
        <f t="shared" si="4"/>
        <v>0</v>
      </c>
    </row>
    <row r="87" spans="2:7">
      <c r="B87" s="32" t="s">
        <v>288</v>
      </c>
    </row>
    <row r="88" spans="2:7">
      <c r="B88" s="9">
        <v>64</v>
      </c>
      <c r="C88" t="s">
        <v>289</v>
      </c>
      <c r="E88" t="s">
        <v>94</v>
      </c>
      <c r="G88" s="14">
        <f>D88*F88</f>
        <v>0</v>
      </c>
    </row>
    <row r="89" spans="2:7">
      <c r="B89" s="9">
        <v>65</v>
      </c>
      <c r="C89" t="s">
        <v>290</v>
      </c>
      <c r="E89" t="s">
        <v>94</v>
      </c>
      <c r="G89" s="14">
        <f>D89*F89</f>
        <v>0</v>
      </c>
    </row>
    <row r="90" spans="2:7">
      <c r="B90" s="9">
        <v>66</v>
      </c>
      <c r="C90" t="s">
        <v>550</v>
      </c>
      <c r="D90">
        <v>3</v>
      </c>
      <c r="E90" t="s">
        <v>119</v>
      </c>
      <c r="F90" s="14">
        <v>380</v>
      </c>
      <c r="G90" s="14">
        <f>D90*F90*38%</f>
        <v>433.2</v>
      </c>
    </row>
    <row r="91" spans="2:7">
      <c r="B91" s="9">
        <v>67</v>
      </c>
      <c r="C91" t="s">
        <v>291</v>
      </c>
      <c r="E91" t="s">
        <v>94</v>
      </c>
      <c r="F91" s="14">
        <v>2500</v>
      </c>
      <c r="G91" s="14">
        <f>D91*F91</f>
        <v>0</v>
      </c>
    </row>
    <row r="93" spans="2:7">
      <c r="B93" s="32" t="s">
        <v>292</v>
      </c>
    </row>
    <row r="94" spans="2:7">
      <c r="B94" s="9">
        <v>68</v>
      </c>
      <c r="C94" t="s">
        <v>293</v>
      </c>
      <c r="E94" t="s">
        <v>94</v>
      </c>
      <c r="G94" s="14">
        <f t="shared" ref="G94:G101" si="5">D94*F94</f>
        <v>0</v>
      </c>
    </row>
    <row r="95" spans="2:7">
      <c r="B95" s="9">
        <v>69</v>
      </c>
      <c r="C95" t="s">
        <v>294</v>
      </c>
      <c r="E95" t="s">
        <v>94</v>
      </c>
      <c r="G95" s="14">
        <f t="shared" si="5"/>
        <v>0</v>
      </c>
    </row>
    <row r="96" spans="2:7">
      <c r="B96" s="9">
        <v>70</v>
      </c>
      <c r="C96" t="s">
        <v>505</v>
      </c>
      <c r="D96">
        <v>1</v>
      </c>
      <c r="E96" t="s">
        <v>305</v>
      </c>
      <c r="F96" s="17">
        <v>920</v>
      </c>
      <c r="G96" s="14">
        <f>D96*F96</f>
        <v>920</v>
      </c>
    </row>
    <row r="97" spans="2:7">
      <c r="B97" s="9">
        <v>71</v>
      </c>
      <c r="C97" t="s">
        <v>295</v>
      </c>
      <c r="E97" t="s">
        <v>303</v>
      </c>
      <c r="F97" s="14">
        <v>58</v>
      </c>
      <c r="G97" s="14">
        <f t="shared" si="5"/>
        <v>0</v>
      </c>
    </row>
    <row r="98" spans="2:7">
      <c r="B98" s="9">
        <v>72</v>
      </c>
      <c r="C98" t="s">
        <v>296</v>
      </c>
      <c r="E98" t="s">
        <v>58</v>
      </c>
      <c r="G98" s="14">
        <f t="shared" si="5"/>
        <v>0</v>
      </c>
    </row>
    <row r="99" spans="2:7">
      <c r="B99" s="9">
        <v>73</v>
      </c>
      <c r="C99" t="s">
        <v>297</v>
      </c>
      <c r="E99" t="s">
        <v>94</v>
      </c>
      <c r="G99" s="14">
        <f t="shared" si="5"/>
        <v>0</v>
      </c>
    </row>
    <row r="100" spans="2:7">
      <c r="B100" s="9">
        <v>74</v>
      </c>
      <c r="C100" t="s">
        <v>298</v>
      </c>
      <c r="E100" t="s">
        <v>94</v>
      </c>
      <c r="G100" s="14">
        <f t="shared" si="5"/>
        <v>0</v>
      </c>
    </row>
    <row r="101" spans="2:7">
      <c r="B101" s="9">
        <v>75</v>
      </c>
      <c r="C101" t="s">
        <v>299</v>
      </c>
      <c r="E101" t="s">
        <v>94</v>
      </c>
      <c r="G101" s="14">
        <f t="shared" si="5"/>
        <v>0</v>
      </c>
    </row>
    <row r="103" spans="2:7">
      <c r="B103" s="32" t="s">
        <v>300</v>
      </c>
    </row>
    <row r="104" spans="2:7">
      <c r="B104" s="9">
        <v>76</v>
      </c>
      <c r="C104" t="s">
        <v>301</v>
      </c>
      <c r="E104" t="s">
        <v>94</v>
      </c>
      <c r="G104" s="14">
        <f>D104*F104</f>
        <v>0</v>
      </c>
    </row>
    <row r="105" spans="2:7">
      <c r="B105" s="9">
        <v>77</v>
      </c>
      <c r="C105" t="s">
        <v>302</v>
      </c>
      <c r="E105" t="s">
        <v>94</v>
      </c>
      <c r="F105" s="58"/>
    </row>
    <row r="106" spans="2:7">
      <c r="B106" s="9">
        <v>78</v>
      </c>
      <c r="C106" t="s">
        <v>54</v>
      </c>
      <c r="E106" t="s">
        <v>94</v>
      </c>
      <c r="G106" s="14">
        <f>D106*F106</f>
        <v>0</v>
      </c>
    </row>
    <row r="108" spans="2:7" ht="14" thickBot="1">
      <c r="G108" s="15"/>
    </row>
    <row r="110" spans="2:7">
      <c r="C110" s="54" t="s">
        <v>359</v>
      </c>
      <c r="G110" s="56">
        <f>SUM(G11:G108)</f>
        <v>48029.74</v>
      </c>
    </row>
  </sheetData>
  <phoneticPr fontId="0" type="noConversion"/>
  <pageMargins left="0.75" right="0.75" top="1" bottom="0.5" header="0.5" footer="0.5"/>
  <pageSetup orientation="portrait"/>
  <headerFooter alignWithMargins="0">
    <oddHeader>&amp;L&amp;"Arial,Bold"Conceptual Estimate
GENERAL CONDITIONS&amp;C&amp;"Californian FB,Bold"&amp;14&amp;UJL Pieretti Construction Co.&amp;R&amp;D</oddHeader>
    <oddFooter>&amp;C&amp;P of &amp;N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50"/>
  <sheetViews>
    <sheetView zoomScale="125" zoomScaleNormal="125" workbookViewId="0">
      <selection activeCell="D30" sqref="D30"/>
    </sheetView>
  </sheetViews>
  <sheetFormatPr baseColWidth="10" defaultColWidth="8.83203125" defaultRowHeight="13"/>
  <cols>
    <col min="1" max="1" width="1.6640625" customWidth="1"/>
    <col min="2" max="2" width="7.6640625" style="9" customWidth="1"/>
    <col min="3" max="3" width="2.1640625" customWidth="1"/>
    <col min="4" max="4" width="32" customWidth="1"/>
    <col min="5" max="5" width="8.1640625" bestFit="1" customWidth="1"/>
    <col min="7" max="7" width="10.1640625" customWidth="1"/>
    <col min="8" max="8" width="8.83203125" style="14" customWidth="1"/>
  </cols>
  <sheetData>
    <row r="1" spans="1:9">
      <c r="A1" s="1" t="s">
        <v>0</v>
      </c>
      <c r="B1" s="5"/>
      <c r="C1" s="1"/>
      <c r="D1" s="2" t="str">
        <f>'Systems Summary'!D7</f>
        <v>356 S Daniel Way, San Jose, CA 95128</v>
      </c>
      <c r="E1" s="1" t="s">
        <v>3</v>
      </c>
      <c r="F1" s="1"/>
      <c r="G1" s="1"/>
      <c r="H1" s="18" t="str">
        <f>'Systems Summary'!I7</f>
        <v>TI</v>
      </c>
      <c r="I1" s="1"/>
    </row>
    <row r="2" spans="1:9">
      <c r="A2" s="1" t="s">
        <v>2</v>
      </c>
      <c r="B2" s="5"/>
      <c r="C2" s="1"/>
      <c r="D2" s="1" t="str">
        <f>'Systems Summary'!D8</f>
        <v>Close to Santana Row</v>
      </c>
      <c r="E2" s="1" t="s">
        <v>4</v>
      </c>
      <c r="F2" s="1"/>
      <c r="G2" s="1"/>
      <c r="H2" s="18" t="str">
        <f>'Systems Summary'!I8</f>
        <v>Tilt Up</v>
      </c>
      <c r="I2" s="1"/>
    </row>
    <row r="3" spans="1:9">
      <c r="A3" s="1"/>
      <c r="B3" s="5"/>
      <c r="C3" s="1"/>
      <c r="D3" s="1" t="s">
        <v>5</v>
      </c>
      <c r="E3" s="1" t="s">
        <v>6</v>
      </c>
      <c r="F3" s="1"/>
      <c r="G3" s="1"/>
      <c r="H3" s="36" t="str">
        <f>'Systems Summary'!I9</f>
        <v>NA</v>
      </c>
      <c r="I3" s="1"/>
    </row>
    <row r="4" spans="1:9">
      <c r="A4" s="1"/>
      <c r="B4" s="5"/>
      <c r="C4" s="1"/>
      <c r="D4" s="1"/>
      <c r="E4" s="1" t="s">
        <v>7</v>
      </c>
      <c r="F4" s="1"/>
      <c r="G4" s="1"/>
      <c r="H4" s="36">
        <f>'Systems Summary'!I10</f>
        <v>1</v>
      </c>
      <c r="I4" s="1"/>
    </row>
    <row r="5" spans="1:9">
      <c r="A5" s="1" t="s">
        <v>1</v>
      </c>
      <c r="B5" s="5"/>
      <c r="C5" s="1"/>
      <c r="D5" s="2" t="str">
        <f>'Systems Summary'!D12</f>
        <v>N/A</v>
      </c>
      <c r="E5" s="1" t="s">
        <v>8</v>
      </c>
      <c r="F5" s="1"/>
      <c r="G5" s="1"/>
      <c r="H5" s="36">
        <f>'Systems Summary'!I11</f>
        <v>2</v>
      </c>
      <c r="I5" s="1"/>
    </row>
    <row r="6" spans="1:9">
      <c r="A6" s="1"/>
      <c r="B6" s="5"/>
      <c r="C6" s="1"/>
      <c r="D6" s="1"/>
      <c r="E6" s="1" t="s">
        <v>57</v>
      </c>
      <c r="F6" s="1"/>
      <c r="G6" s="1"/>
      <c r="H6" s="36">
        <f>'Systems Summary'!I12</f>
        <v>2</v>
      </c>
      <c r="I6" s="1"/>
    </row>
    <row r="7" spans="1:9">
      <c r="A7" s="1"/>
      <c r="B7" s="5"/>
      <c r="C7" s="1"/>
      <c r="D7" s="1"/>
      <c r="E7" s="1" t="s">
        <v>308</v>
      </c>
      <c r="F7" s="1"/>
      <c r="G7" s="1"/>
      <c r="H7" s="36">
        <f>'Systems Summary'!I15</f>
        <v>0</v>
      </c>
      <c r="I7" s="1" t="s">
        <v>58</v>
      </c>
    </row>
    <row r="8" spans="1:9">
      <c r="A8" s="1"/>
      <c r="B8" s="5"/>
      <c r="C8" s="1"/>
      <c r="D8" s="1"/>
      <c r="E8" s="1" t="s">
        <v>309</v>
      </c>
      <c r="F8" s="1"/>
      <c r="G8" s="1"/>
      <c r="H8" s="36">
        <f>'Systems Summary'!I16</f>
        <v>8720</v>
      </c>
      <c r="I8" s="1" t="s">
        <v>58</v>
      </c>
    </row>
    <row r="9" spans="1:9">
      <c r="A9" s="1"/>
      <c r="B9" s="5"/>
      <c r="C9" s="1"/>
      <c r="D9" s="1"/>
      <c r="E9" s="1" t="str">
        <f>'Systems Summary'!F17</f>
        <v>Lease Space/TI Area:</v>
      </c>
      <c r="F9" s="1"/>
      <c r="G9" s="1"/>
      <c r="H9" s="37">
        <f>'Systems Summary'!I17</f>
        <v>8720</v>
      </c>
      <c r="I9" s="1" t="s">
        <v>58</v>
      </c>
    </row>
    <row r="10" spans="1:9">
      <c r="E10" s="1" t="s">
        <v>9</v>
      </c>
      <c r="H10" s="38" t="str">
        <f>'Systems Summary'!I18</f>
        <v>NA</v>
      </c>
      <c r="I10" t="s">
        <v>58</v>
      </c>
    </row>
    <row r="11" spans="1:9">
      <c r="E11" s="1" t="s">
        <v>189</v>
      </c>
      <c r="H11" s="38" t="str">
        <f>'Systems Summary'!I19</f>
        <v>NA</v>
      </c>
      <c r="I11" t="s">
        <v>58</v>
      </c>
    </row>
    <row r="12" spans="1:9">
      <c r="D12" s="6"/>
      <c r="E12" s="1" t="s">
        <v>307</v>
      </c>
      <c r="H12" s="38" t="str">
        <f>'Systems Summary'!I20</f>
        <v>NA</v>
      </c>
      <c r="I12" t="s">
        <v>58</v>
      </c>
    </row>
    <row r="13" spans="1:9" ht="14" thickBot="1">
      <c r="B13" s="8"/>
      <c r="C13" s="3"/>
      <c r="D13" s="3"/>
      <c r="E13" s="3"/>
      <c r="F13" s="3"/>
      <c r="G13" s="3"/>
      <c r="H13" s="11"/>
      <c r="I13" s="3"/>
    </row>
    <row r="14" spans="1:9">
      <c r="B14" s="6" t="s">
        <v>10</v>
      </c>
      <c r="C14" s="1"/>
      <c r="D14" s="1"/>
      <c r="E14" s="1"/>
      <c r="F14" s="1"/>
      <c r="G14" s="6" t="s">
        <v>14</v>
      </c>
      <c r="H14" s="12" t="s">
        <v>39</v>
      </c>
      <c r="I14" s="6" t="s">
        <v>15</v>
      </c>
    </row>
    <row r="15" spans="1:9" ht="14" thickBot="1">
      <c r="B15" s="7" t="s">
        <v>11</v>
      </c>
      <c r="C15" s="4"/>
      <c r="D15" s="7" t="s">
        <v>12</v>
      </c>
      <c r="E15" s="7" t="s">
        <v>38</v>
      </c>
      <c r="F15" s="7" t="s">
        <v>14</v>
      </c>
      <c r="G15" s="7" t="s">
        <v>15</v>
      </c>
      <c r="H15" s="13" t="s">
        <v>15</v>
      </c>
      <c r="I15" s="7" t="s">
        <v>40</v>
      </c>
    </row>
    <row r="16" spans="1:9" ht="14" thickTop="1"/>
    <row r="17" spans="2:9">
      <c r="B17" s="10" t="s">
        <v>16</v>
      </c>
      <c r="D17" t="s">
        <v>90</v>
      </c>
      <c r="E17" s="42"/>
      <c r="G17" s="14"/>
      <c r="H17" s="14">
        <f>'Off-Site Detail'!H27</f>
        <v>0</v>
      </c>
      <c r="I17" s="14"/>
    </row>
    <row r="18" spans="2:9">
      <c r="B18" s="10" t="s">
        <v>17</v>
      </c>
      <c r="D18" t="s">
        <v>53</v>
      </c>
      <c r="E18" s="42"/>
      <c r="G18" s="14"/>
      <c r="H18" s="14">
        <f>'Off-Site Detail'!H65</f>
        <v>0</v>
      </c>
      <c r="I18" s="14"/>
    </row>
    <row r="19" spans="2:9">
      <c r="B19" s="10" t="s">
        <v>18</v>
      </c>
      <c r="D19" t="s">
        <v>25</v>
      </c>
      <c r="E19" s="42"/>
      <c r="G19" s="14"/>
      <c r="H19" s="14">
        <f>'Off-Site Detail'!H78</f>
        <v>0</v>
      </c>
      <c r="I19" s="14"/>
    </row>
    <row r="20" spans="2:9">
      <c r="B20" s="10" t="s">
        <v>19</v>
      </c>
      <c r="D20" t="s">
        <v>26</v>
      </c>
      <c r="E20" s="42"/>
      <c r="G20" s="14"/>
      <c r="H20" s="14">
        <f>'Off-Site Detail'!H88</f>
        <v>0</v>
      </c>
      <c r="I20" s="14"/>
    </row>
    <row r="21" spans="2:9">
      <c r="B21" s="10" t="s">
        <v>20</v>
      </c>
      <c r="D21" t="s">
        <v>27</v>
      </c>
      <c r="E21" s="42"/>
      <c r="G21" s="14"/>
      <c r="H21" s="14">
        <f>'Off-Site Detail'!H98</f>
        <v>0</v>
      </c>
      <c r="I21" s="14"/>
    </row>
    <row r="22" spans="2:9">
      <c r="B22" s="10" t="s">
        <v>21</v>
      </c>
      <c r="D22" t="s">
        <v>28</v>
      </c>
      <c r="E22" s="42"/>
      <c r="G22" s="14"/>
      <c r="H22" s="14">
        <f>'Off-Site Detail'!H108</f>
        <v>0</v>
      </c>
      <c r="I22" s="14"/>
    </row>
    <row r="23" spans="2:9">
      <c r="B23" s="10" t="s">
        <v>22</v>
      </c>
      <c r="D23" t="s">
        <v>29</v>
      </c>
      <c r="E23" s="42"/>
      <c r="G23" s="14"/>
      <c r="H23" s="14">
        <f>'Off-Site Detail'!H118</f>
        <v>0</v>
      </c>
      <c r="I23" s="14"/>
    </row>
    <row r="24" spans="2:9">
      <c r="B24" s="10" t="s">
        <v>23</v>
      </c>
      <c r="D24" t="s">
        <v>79</v>
      </c>
      <c r="E24" s="42"/>
      <c r="G24" s="14"/>
      <c r="H24" s="14">
        <f>'Off-Site Detail'!H128</f>
        <v>0</v>
      </c>
      <c r="I24" s="14"/>
    </row>
    <row r="25" spans="2:9">
      <c r="B25" s="10" t="s">
        <v>24</v>
      </c>
      <c r="D25" t="s">
        <v>30</v>
      </c>
      <c r="E25" s="42"/>
      <c r="G25" s="14"/>
      <c r="H25" s="14">
        <f>'Off-Site Detail'!H138</f>
        <v>0</v>
      </c>
      <c r="I25" s="14"/>
    </row>
    <row r="26" spans="2:9">
      <c r="B26" s="9">
        <v>10000</v>
      </c>
      <c r="D26" t="s">
        <v>31</v>
      </c>
      <c r="E26" s="42"/>
      <c r="G26" s="14"/>
      <c r="H26" s="14">
        <f>'Off-Site Detail'!H148</f>
        <v>0</v>
      </c>
      <c r="I26" s="14"/>
    </row>
    <row r="27" spans="2:9">
      <c r="B27" s="9">
        <v>11000</v>
      </c>
      <c r="D27" t="s">
        <v>32</v>
      </c>
      <c r="E27" s="42"/>
      <c r="G27" s="14"/>
      <c r="H27" s="14">
        <f>'Off-Site Detail'!H158</f>
        <v>0</v>
      </c>
      <c r="I27" s="14"/>
    </row>
    <row r="28" spans="2:9">
      <c r="B28" s="9">
        <v>12000</v>
      </c>
      <c r="D28" t="s">
        <v>33</v>
      </c>
      <c r="E28" s="42"/>
      <c r="G28" s="14"/>
      <c r="H28" s="14">
        <f>'Off-Site Detail'!H168</f>
        <v>0</v>
      </c>
      <c r="I28" s="14"/>
    </row>
    <row r="29" spans="2:9">
      <c r="B29" s="9">
        <v>13000</v>
      </c>
      <c r="D29" t="s">
        <v>531</v>
      </c>
      <c r="E29" s="42"/>
      <c r="G29" s="14"/>
      <c r="H29" s="14">
        <f>'Off-Site Detail'!H178</f>
        <v>0</v>
      </c>
      <c r="I29" s="14"/>
    </row>
    <row r="30" spans="2:9">
      <c r="B30" s="9">
        <v>14000</v>
      </c>
      <c r="D30" t="s">
        <v>35</v>
      </c>
      <c r="E30" s="42"/>
      <c r="G30" s="14"/>
      <c r="H30" s="14">
        <f>'Off-Site Detail'!H188</f>
        <v>0</v>
      </c>
      <c r="I30" s="14"/>
    </row>
    <row r="31" spans="2:9">
      <c r="B31" s="9">
        <v>15000</v>
      </c>
      <c r="D31" t="s">
        <v>36</v>
      </c>
      <c r="E31" s="42"/>
      <c r="G31" s="14"/>
      <c r="H31" s="14">
        <f>'Off-Site Detail'!H198</f>
        <v>0</v>
      </c>
      <c r="I31" s="14"/>
    </row>
    <row r="32" spans="2:9">
      <c r="B32" s="9">
        <v>16000</v>
      </c>
      <c r="D32" t="s">
        <v>37</v>
      </c>
      <c r="E32" s="42"/>
      <c r="G32" s="14"/>
      <c r="H32" s="14">
        <f>'Off-Site Detail'!H208</f>
        <v>0</v>
      </c>
      <c r="I32" s="14"/>
    </row>
    <row r="33" spans="4:9" ht="14" thickBot="1">
      <c r="G33" s="14"/>
      <c r="H33" s="15"/>
      <c r="I33" s="14"/>
    </row>
    <row r="34" spans="4:9">
      <c r="G34" s="14"/>
      <c r="I34" s="14"/>
    </row>
    <row r="35" spans="4:9">
      <c r="D35" s="2" t="s">
        <v>41</v>
      </c>
      <c r="G35" s="14"/>
      <c r="H35" s="14">
        <f>SUM(H16:H33)</f>
        <v>0</v>
      </c>
      <c r="I35" s="14"/>
    </row>
    <row r="36" spans="4:9">
      <c r="I36" s="14"/>
    </row>
    <row r="37" spans="4:9">
      <c r="D37" t="s">
        <v>42</v>
      </c>
      <c r="E37" s="16" t="s">
        <v>5</v>
      </c>
      <c r="I37" s="14"/>
    </row>
    <row r="38" spans="4:9">
      <c r="D38" t="s">
        <v>43</v>
      </c>
      <c r="E38" s="16" t="s">
        <v>5</v>
      </c>
      <c r="I38" s="14"/>
    </row>
    <row r="39" spans="4:9">
      <c r="D39" t="s">
        <v>44</v>
      </c>
      <c r="E39" s="16"/>
      <c r="I39" s="14"/>
    </row>
    <row r="40" spans="4:9">
      <c r="D40" t="s">
        <v>45</v>
      </c>
      <c r="E40" s="16"/>
      <c r="I40" s="14"/>
    </row>
    <row r="41" spans="4:9">
      <c r="D41" t="s">
        <v>46</v>
      </c>
      <c r="E41" s="16"/>
      <c r="I41" s="14"/>
    </row>
    <row r="42" spans="4:9">
      <c r="D42" t="s">
        <v>47</v>
      </c>
      <c r="E42" s="16"/>
      <c r="I42" s="14"/>
    </row>
    <row r="43" spans="4:9" ht="14" thickBot="1">
      <c r="H43" s="15"/>
      <c r="I43" s="14"/>
    </row>
    <row r="44" spans="4:9">
      <c r="I44" s="14"/>
    </row>
    <row r="45" spans="4:9">
      <c r="D45" s="2" t="s">
        <v>41</v>
      </c>
      <c r="H45" s="14">
        <f>SUM(H34:H43)</f>
        <v>0</v>
      </c>
      <c r="I45" s="14"/>
    </row>
    <row r="46" spans="4:9">
      <c r="I46" s="14"/>
    </row>
    <row r="47" spans="4:9">
      <c r="D47" t="s">
        <v>48</v>
      </c>
      <c r="E47" s="16"/>
      <c r="I47" s="14"/>
    </row>
    <row r="48" spans="4:9" ht="14" thickBot="1">
      <c r="H48" s="15"/>
      <c r="I48" s="14"/>
    </row>
    <row r="49" spans="4:9">
      <c r="I49" s="14"/>
    </row>
    <row r="50" spans="4:9">
      <c r="D50" s="54" t="s">
        <v>49</v>
      </c>
      <c r="H50" s="14">
        <f>SUM(H44:H48)</f>
        <v>0</v>
      </c>
      <c r="I50" s="14"/>
    </row>
  </sheetData>
  <phoneticPr fontId="0" type="noConversion"/>
  <pageMargins left="0.75" right="0.75" top="1" bottom="1" header="0.5" footer="0.5"/>
  <pageSetup orientation="portrait"/>
  <headerFooter alignWithMargins="0">
    <oddHeader>&amp;L&amp;"Arial,Bold"Conceptual Estimate
OFF-SITE SUMMARY&amp;C&amp;"Californian FB,Bold"&amp;14&amp;UJL Pieretti Construction Co.&amp;R&amp;D</oddHeader>
    <oddFooter>&amp;C&amp;P of &amp;N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212"/>
  <sheetViews>
    <sheetView topLeftCell="A139" zoomScale="125" zoomScaleNormal="125" workbookViewId="0">
      <selection activeCell="K3" sqref="K3"/>
    </sheetView>
  </sheetViews>
  <sheetFormatPr baseColWidth="10" defaultColWidth="8.83203125" defaultRowHeight="13"/>
  <cols>
    <col min="1" max="1" width="1.6640625" customWidth="1"/>
    <col min="2" max="2" width="7.6640625" customWidth="1"/>
    <col min="3" max="3" width="1.6640625" customWidth="1"/>
    <col min="4" max="4" width="32" customWidth="1"/>
    <col min="7" max="7" width="10.5" style="27" bestFit="1" customWidth="1"/>
    <col min="8" max="8" width="8.83203125" style="14" customWidth="1"/>
    <col min="9" max="9" width="8.83203125" style="27" customWidth="1"/>
  </cols>
  <sheetData>
    <row r="1" spans="1:9">
      <c r="A1" s="1" t="s">
        <v>0</v>
      </c>
      <c r="B1" s="5"/>
      <c r="C1" s="1"/>
      <c r="D1" s="2" t="str">
        <f>'Systems Summary'!D7</f>
        <v>356 S Daniel Way, San Jose, CA 95128</v>
      </c>
      <c r="E1" s="1" t="s">
        <v>3</v>
      </c>
      <c r="F1" s="1"/>
      <c r="G1" s="23"/>
      <c r="H1" s="18" t="str">
        <f>'Systems Summary'!I7</f>
        <v>TI</v>
      </c>
      <c r="I1" s="23"/>
    </row>
    <row r="2" spans="1:9">
      <c r="A2" s="1" t="s">
        <v>2</v>
      </c>
      <c r="B2" s="5"/>
      <c r="C2" s="1"/>
      <c r="D2" s="1" t="str">
        <f>'Systems Summary'!D8</f>
        <v>Close to Santana Row</v>
      </c>
      <c r="E2" s="1" t="s">
        <v>4</v>
      </c>
      <c r="F2" s="1"/>
      <c r="G2" s="23"/>
      <c r="H2" s="18" t="str">
        <f>'Systems Summary'!I8</f>
        <v>Tilt Up</v>
      </c>
      <c r="I2" s="23"/>
    </row>
    <row r="3" spans="1:9">
      <c r="A3" s="1"/>
      <c r="B3" s="5"/>
      <c r="C3" s="1"/>
      <c r="D3" s="1" t="s">
        <v>5</v>
      </c>
      <c r="E3" s="1" t="s">
        <v>6</v>
      </c>
      <c r="F3" s="1"/>
      <c r="G3" s="23"/>
      <c r="H3" s="36" t="str">
        <f>'Systems Summary'!I9</f>
        <v>NA</v>
      </c>
      <c r="I3" s="23"/>
    </row>
    <row r="4" spans="1:9">
      <c r="A4" s="1"/>
      <c r="B4" s="5"/>
      <c r="C4" s="1"/>
      <c r="D4" s="1"/>
      <c r="E4" s="1" t="s">
        <v>7</v>
      </c>
      <c r="F4" s="1"/>
      <c r="G4" s="23"/>
      <c r="H4" s="36">
        <f>'Systems Summary'!I10</f>
        <v>1</v>
      </c>
      <c r="I4" s="23"/>
    </row>
    <row r="5" spans="1:9">
      <c r="A5" s="1" t="s">
        <v>1</v>
      </c>
      <c r="B5" s="5"/>
      <c r="C5" s="1"/>
      <c r="D5" s="2" t="str">
        <f>'Systems Summary'!D12</f>
        <v>N/A</v>
      </c>
      <c r="E5" s="1" t="s">
        <v>8</v>
      </c>
      <c r="F5" s="1"/>
      <c r="G5" s="23"/>
      <c r="H5" s="36">
        <f>'Systems Summary'!I11</f>
        <v>2</v>
      </c>
      <c r="I5" s="23"/>
    </row>
    <row r="6" spans="1:9">
      <c r="A6" s="1"/>
      <c r="B6" s="5"/>
      <c r="C6" s="1"/>
      <c r="D6" s="1"/>
      <c r="E6" s="1" t="s">
        <v>57</v>
      </c>
      <c r="F6" s="1"/>
      <c r="G6" s="23"/>
      <c r="H6" s="36">
        <f>'Systems Summary'!I12</f>
        <v>2</v>
      </c>
      <c r="I6" s="23"/>
    </row>
    <row r="7" spans="1:9">
      <c r="A7" s="1"/>
      <c r="B7" s="5"/>
      <c r="C7" s="1"/>
      <c r="D7" s="1"/>
      <c r="E7" s="1" t="s">
        <v>308</v>
      </c>
      <c r="F7" s="1"/>
      <c r="G7" s="23"/>
      <c r="H7" s="36">
        <f>'Systems Summary'!I15</f>
        <v>0</v>
      </c>
      <c r="I7" s="23"/>
    </row>
    <row r="8" spans="1:9">
      <c r="A8" s="1"/>
      <c r="B8" s="5"/>
      <c r="C8" s="1"/>
      <c r="D8" s="1"/>
      <c r="E8" s="1" t="s">
        <v>309</v>
      </c>
      <c r="F8" s="1"/>
      <c r="G8" s="23"/>
      <c r="H8" s="36">
        <f>'Systems Summary'!I16</f>
        <v>8720</v>
      </c>
      <c r="I8" s="23"/>
    </row>
    <row r="9" spans="1:9">
      <c r="A9" s="1"/>
      <c r="B9" s="5"/>
      <c r="C9" s="1"/>
      <c r="D9" s="1"/>
      <c r="E9" s="1" t="str">
        <f>'Systems Summary'!F17</f>
        <v>Lease Space/TI Area:</v>
      </c>
      <c r="F9" s="1"/>
      <c r="G9" s="1"/>
      <c r="H9" s="37">
        <f>'Systems Summary'!I17</f>
        <v>8720</v>
      </c>
      <c r="I9" s="1" t="s">
        <v>58</v>
      </c>
    </row>
    <row r="10" spans="1:9">
      <c r="E10" s="1" t="s">
        <v>9</v>
      </c>
      <c r="G10"/>
      <c r="H10" s="38" t="str">
        <f>'Systems Summary'!I18</f>
        <v>NA</v>
      </c>
      <c r="I10" t="s">
        <v>58</v>
      </c>
    </row>
    <row r="11" spans="1:9">
      <c r="E11" s="1" t="s">
        <v>189</v>
      </c>
      <c r="G11"/>
      <c r="H11" s="38" t="str">
        <f>'Systems Summary'!I19</f>
        <v>NA</v>
      </c>
      <c r="I11" t="s">
        <v>58</v>
      </c>
    </row>
    <row r="12" spans="1:9">
      <c r="E12" s="1" t="str">
        <f>'Systems Summary'!F20</f>
        <v>Garage Area:</v>
      </c>
      <c r="G12"/>
      <c r="H12" s="38" t="str">
        <f>'Systems Summary'!I20</f>
        <v>NA</v>
      </c>
      <c r="I12"/>
    </row>
    <row r="13" spans="1:9" ht="14" thickBot="1">
      <c r="B13" s="8"/>
      <c r="C13" s="3"/>
      <c r="D13" s="3"/>
      <c r="E13" s="3"/>
      <c r="F13" s="3"/>
      <c r="G13" s="24"/>
      <c r="H13" s="11"/>
      <c r="I13" s="24"/>
    </row>
    <row r="14" spans="1:9">
      <c r="B14" s="6" t="s">
        <v>10</v>
      </c>
      <c r="C14" s="1"/>
      <c r="D14" s="1"/>
      <c r="E14" s="1"/>
      <c r="F14" s="1"/>
      <c r="G14" s="25" t="s">
        <v>14</v>
      </c>
      <c r="H14" s="12" t="s">
        <v>39</v>
      </c>
      <c r="I14" s="25" t="s">
        <v>15</v>
      </c>
    </row>
    <row r="15" spans="1:9" ht="14" thickBot="1">
      <c r="B15" s="7" t="s">
        <v>11</v>
      </c>
      <c r="C15" s="4"/>
      <c r="D15" s="7" t="s">
        <v>12</v>
      </c>
      <c r="E15" s="7" t="s">
        <v>38</v>
      </c>
      <c r="F15" s="7" t="s">
        <v>14</v>
      </c>
      <c r="G15" s="26" t="s">
        <v>15</v>
      </c>
      <c r="H15" s="13" t="s">
        <v>15</v>
      </c>
      <c r="I15" s="26" t="s">
        <v>40</v>
      </c>
    </row>
    <row r="16" spans="1:9" ht="14" thickTop="1"/>
    <row r="17" spans="2:9">
      <c r="B17" s="19" t="s">
        <v>16</v>
      </c>
      <c r="D17" s="2" t="s">
        <v>223</v>
      </c>
      <c r="E17" s="42"/>
      <c r="G17" s="14"/>
      <c r="H17" s="50"/>
      <c r="I17" s="14"/>
    </row>
    <row r="18" spans="2:9">
      <c r="B18" s="22" t="s">
        <v>224</v>
      </c>
      <c r="D18" t="s">
        <v>225</v>
      </c>
      <c r="E18" s="42"/>
      <c r="F18" t="s">
        <v>58</v>
      </c>
      <c r="G18" s="14"/>
      <c r="H18" s="50">
        <f t="shared" ref="H18:H23" si="0">E18*G18</f>
        <v>0</v>
      </c>
      <c r="I18" s="14"/>
    </row>
    <row r="19" spans="2:9">
      <c r="B19" s="22" t="s">
        <v>226</v>
      </c>
      <c r="D19" t="s">
        <v>227</v>
      </c>
      <c r="E19" s="42"/>
      <c r="F19" t="s">
        <v>58</v>
      </c>
      <c r="G19" s="14"/>
      <c r="H19" s="50">
        <f t="shared" si="0"/>
        <v>0</v>
      </c>
      <c r="I19" s="14"/>
    </row>
    <row r="20" spans="2:9">
      <c r="B20" s="22" t="s">
        <v>229</v>
      </c>
      <c r="D20" t="s">
        <v>228</v>
      </c>
      <c r="E20" s="42"/>
      <c r="F20" t="s">
        <v>119</v>
      </c>
      <c r="G20" s="14"/>
      <c r="H20" s="50">
        <f t="shared" si="0"/>
        <v>0</v>
      </c>
      <c r="I20" s="14"/>
    </row>
    <row r="21" spans="2:9">
      <c r="B21" s="22" t="s">
        <v>230</v>
      </c>
      <c r="D21" t="s">
        <v>231</v>
      </c>
      <c r="E21" s="42"/>
      <c r="F21" t="s">
        <v>94</v>
      </c>
      <c r="G21" s="14"/>
      <c r="H21" s="50">
        <f t="shared" si="0"/>
        <v>0</v>
      </c>
      <c r="I21" s="14"/>
    </row>
    <row r="22" spans="2:9">
      <c r="B22" s="22" t="s">
        <v>232</v>
      </c>
      <c r="D22" t="s">
        <v>233</v>
      </c>
      <c r="E22" s="42"/>
      <c r="F22" t="s">
        <v>94</v>
      </c>
      <c r="G22" s="14"/>
      <c r="H22" s="50">
        <f t="shared" si="0"/>
        <v>0</v>
      </c>
      <c r="I22" s="14"/>
    </row>
    <row r="23" spans="2:9">
      <c r="B23" s="22" t="s">
        <v>234</v>
      </c>
      <c r="D23" t="s">
        <v>235</v>
      </c>
      <c r="E23" s="42"/>
      <c r="F23" t="s">
        <v>120</v>
      </c>
      <c r="G23" s="14"/>
      <c r="H23" s="50">
        <f t="shared" si="0"/>
        <v>0</v>
      </c>
      <c r="I23" s="14"/>
    </row>
    <row r="24" spans="2:9">
      <c r="B24" s="22"/>
      <c r="E24" s="42"/>
      <c r="G24" s="14"/>
      <c r="H24" s="50"/>
      <c r="I24" s="14"/>
    </row>
    <row r="25" spans="2:9">
      <c r="E25" s="42"/>
      <c r="G25" s="14"/>
      <c r="H25" s="51"/>
      <c r="I25" s="14"/>
    </row>
    <row r="26" spans="2:9">
      <c r="E26" s="42"/>
      <c r="G26" s="14"/>
      <c r="H26" s="52"/>
      <c r="I26" s="14"/>
    </row>
    <row r="27" spans="2:9">
      <c r="D27" s="2" t="s">
        <v>236</v>
      </c>
      <c r="E27" s="42"/>
      <c r="G27" s="14"/>
      <c r="H27" s="52">
        <f>SUM(H17:H25)</f>
        <v>0</v>
      </c>
      <c r="I27" s="14">
        <f>H27/H9</f>
        <v>0</v>
      </c>
    </row>
    <row r="28" spans="2:9">
      <c r="E28" s="42"/>
      <c r="G28" s="14"/>
      <c r="H28" s="50"/>
      <c r="I28" s="14"/>
    </row>
    <row r="29" spans="2:9">
      <c r="E29" s="42"/>
      <c r="G29" s="14"/>
      <c r="H29" s="50"/>
      <c r="I29" s="14"/>
    </row>
    <row r="30" spans="2:9">
      <c r="B30" s="19" t="s">
        <v>17</v>
      </c>
      <c r="C30" s="2"/>
      <c r="D30" s="2" t="s">
        <v>60</v>
      </c>
      <c r="E30" s="42"/>
      <c r="G30" s="14"/>
      <c r="H30" s="50"/>
      <c r="I30" s="14"/>
    </row>
    <row r="31" spans="2:9">
      <c r="B31" s="22" t="s">
        <v>95</v>
      </c>
      <c r="D31" t="s">
        <v>93</v>
      </c>
      <c r="E31" s="42">
        <v>0</v>
      </c>
      <c r="F31" t="s">
        <v>94</v>
      </c>
      <c r="G31" s="14">
        <v>5000</v>
      </c>
      <c r="H31" s="50">
        <f>E31*G31</f>
        <v>0</v>
      </c>
      <c r="I31" s="14"/>
    </row>
    <row r="32" spans="2:9">
      <c r="B32" s="22" t="s">
        <v>91</v>
      </c>
      <c r="D32" t="s">
        <v>92</v>
      </c>
      <c r="E32" s="42"/>
      <c r="F32" t="s">
        <v>58</v>
      </c>
      <c r="G32" s="14"/>
      <c r="H32" s="50">
        <f t="shared" ref="H32:H61" si="1">E32*G32</f>
        <v>0</v>
      </c>
      <c r="I32" s="14"/>
    </row>
    <row r="33" spans="2:9">
      <c r="B33" s="22" t="s">
        <v>117</v>
      </c>
      <c r="D33" t="s">
        <v>118</v>
      </c>
      <c r="E33" s="42"/>
      <c r="F33" t="s">
        <v>119</v>
      </c>
      <c r="G33" s="14"/>
      <c r="H33" s="50">
        <f t="shared" si="1"/>
        <v>0</v>
      </c>
      <c r="I33" s="14"/>
    </row>
    <row r="34" spans="2:9">
      <c r="B34" s="22" t="s">
        <v>96</v>
      </c>
      <c r="D34" t="s">
        <v>97</v>
      </c>
      <c r="E34" s="42"/>
      <c r="F34" t="s">
        <v>58</v>
      </c>
      <c r="G34" s="14"/>
      <c r="H34" s="50">
        <f t="shared" si="1"/>
        <v>0</v>
      </c>
      <c r="I34" s="14"/>
    </row>
    <row r="35" spans="2:9">
      <c r="B35" s="22" t="s">
        <v>98</v>
      </c>
      <c r="D35" t="s">
        <v>99</v>
      </c>
      <c r="E35" s="42"/>
      <c r="F35" t="s">
        <v>58</v>
      </c>
      <c r="G35" s="14"/>
      <c r="H35" s="50">
        <f t="shared" si="1"/>
        <v>0</v>
      </c>
      <c r="I35" s="14"/>
    </row>
    <row r="36" spans="2:9">
      <c r="B36" s="22" t="s">
        <v>100</v>
      </c>
      <c r="D36" t="s">
        <v>101</v>
      </c>
      <c r="E36" s="42"/>
      <c r="G36" s="14"/>
      <c r="H36" s="50"/>
      <c r="I36" s="14"/>
    </row>
    <row r="37" spans="2:9">
      <c r="B37" s="22"/>
      <c r="D37" t="s">
        <v>106</v>
      </c>
      <c r="E37" s="42"/>
      <c r="F37" t="s">
        <v>120</v>
      </c>
      <c r="G37" s="14"/>
      <c r="H37" s="50">
        <f t="shared" si="1"/>
        <v>0</v>
      </c>
      <c r="I37" s="14"/>
    </row>
    <row r="38" spans="2:9">
      <c r="B38" s="22"/>
      <c r="D38" t="s">
        <v>105</v>
      </c>
      <c r="E38" s="42"/>
      <c r="F38" t="s">
        <v>120</v>
      </c>
      <c r="G38" s="14"/>
      <c r="H38" s="50">
        <f t="shared" si="1"/>
        <v>0</v>
      </c>
      <c r="I38" s="14"/>
    </row>
    <row r="39" spans="2:9">
      <c r="B39" s="22"/>
      <c r="D39" t="s">
        <v>107</v>
      </c>
      <c r="E39" s="42"/>
      <c r="F39" t="s">
        <v>120</v>
      </c>
      <c r="G39" s="14"/>
      <c r="H39" s="50">
        <f t="shared" si="1"/>
        <v>0</v>
      </c>
      <c r="I39" s="14"/>
    </row>
    <row r="40" spans="2:9">
      <c r="B40" s="22"/>
      <c r="D40" t="s">
        <v>108</v>
      </c>
      <c r="E40" s="42"/>
      <c r="F40" t="s">
        <v>120</v>
      </c>
      <c r="G40" s="14"/>
      <c r="H40" s="50">
        <f t="shared" si="1"/>
        <v>0</v>
      </c>
      <c r="I40" s="14"/>
    </row>
    <row r="41" spans="2:9">
      <c r="B41" s="22"/>
      <c r="D41" t="s">
        <v>109</v>
      </c>
      <c r="E41" s="42"/>
      <c r="F41" t="s">
        <v>120</v>
      </c>
      <c r="G41" s="14"/>
      <c r="H41" s="50">
        <f t="shared" si="1"/>
        <v>0</v>
      </c>
      <c r="I41" s="14"/>
    </row>
    <row r="42" spans="2:9">
      <c r="B42" s="22"/>
      <c r="D42" t="s">
        <v>110</v>
      </c>
      <c r="E42" s="42"/>
      <c r="F42" t="s">
        <v>120</v>
      </c>
      <c r="G42" s="14"/>
      <c r="H42" s="50">
        <f t="shared" si="1"/>
        <v>0</v>
      </c>
      <c r="I42" s="14"/>
    </row>
    <row r="43" spans="2:9">
      <c r="B43" s="22"/>
      <c r="D43" t="s">
        <v>111</v>
      </c>
      <c r="E43" s="42"/>
      <c r="F43" t="s">
        <v>120</v>
      </c>
      <c r="G43" s="14"/>
      <c r="H43" s="50">
        <f t="shared" si="1"/>
        <v>0</v>
      </c>
      <c r="I43" s="14"/>
    </row>
    <row r="44" spans="2:9">
      <c r="B44" s="22"/>
      <c r="D44" t="s">
        <v>112</v>
      </c>
      <c r="E44" s="42"/>
      <c r="F44" t="s">
        <v>120</v>
      </c>
      <c r="G44" s="14"/>
      <c r="H44" s="50">
        <f t="shared" si="1"/>
        <v>0</v>
      </c>
      <c r="I44" s="14"/>
    </row>
    <row r="45" spans="2:9">
      <c r="B45" s="22"/>
      <c r="D45" t="s">
        <v>113</v>
      </c>
      <c r="E45" s="42"/>
      <c r="F45" t="s">
        <v>94</v>
      </c>
      <c r="G45" s="14"/>
      <c r="H45" s="50">
        <f t="shared" si="1"/>
        <v>0</v>
      </c>
      <c r="I45" s="14"/>
    </row>
    <row r="46" spans="2:9">
      <c r="B46" s="22"/>
      <c r="D46" t="s">
        <v>102</v>
      </c>
      <c r="E46" s="42"/>
      <c r="F46" t="s">
        <v>119</v>
      </c>
      <c r="G46" s="14"/>
      <c r="H46" s="50">
        <f t="shared" si="1"/>
        <v>0</v>
      </c>
      <c r="I46" s="14"/>
    </row>
    <row r="47" spans="2:9">
      <c r="B47" s="22"/>
      <c r="D47" t="s">
        <v>103</v>
      </c>
      <c r="E47" s="42"/>
      <c r="F47" t="s">
        <v>119</v>
      </c>
      <c r="G47" s="14"/>
      <c r="H47" s="50">
        <f t="shared" si="1"/>
        <v>0</v>
      </c>
      <c r="I47" s="14"/>
    </row>
    <row r="48" spans="2:9">
      <c r="B48" s="22"/>
      <c r="D48" t="s">
        <v>104</v>
      </c>
      <c r="E48" s="42"/>
      <c r="F48" t="s">
        <v>119</v>
      </c>
      <c r="G48" s="14"/>
      <c r="H48" s="50">
        <f t="shared" si="1"/>
        <v>0</v>
      </c>
      <c r="I48" s="14"/>
    </row>
    <row r="49" spans="2:9">
      <c r="B49" s="22"/>
      <c r="D49" t="s">
        <v>114</v>
      </c>
      <c r="E49" s="42"/>
      <c r="F49" t="s">
        <v>120</v>
      </c>
      <c r="G49" s="14"/>
      <c r="H49" s="50">
        <f t="shared" si="1"/>
        <v>0</v>
      </c>
      <c r="I49" s="14"/>
    </row>
    <row r="50" spans="2:9">
      <c r="B50" s="22"/>
      <c r="E50" s="42"/>
      <c r="G50" s="14"/>
      <c r="H50" s="50"/>
      <c r="I50" s="14"/>
    </row>
    <row r="51" spans="2:9">
      <c r="B51" s="22"/>
      <c r="D51" t="s">
        <v>115</v>
      </c>
      <c r="E51" s="42"/>
      <c r="F51" t="s">
        <v>120</v>
      </c>
      <c r="G51" s="14"/>
      <c r="H51" s="50">
        <f t="shared" si="1"/>
        <v>0</v>
      </c>
      <c r="I51" s="14"/>
    </row>
    <row r="52" spans="2:9">
      <c r="B52" s="22"/>
      <c r="E52" s="42"/>
      <c r="G52" s="14"/>
      <c r="H52" s="50"/>
      <c r="I52" s="14"/>
    </row>
    <row r="53" spans="2:9">
      <c r="B53" s="22"/>
      <c r="D53" t="s">
        <v>116</v>
      </c>
      <c r="E53" s="42"/>
      <c r="F53" t="s">
        <v>120</v>
      </c>
      <c r="G53" s="14"/>
      <c r="H53" s="50">
        <f t="shared" si="1"/>
        <v>0</v>
      </c>
      <c r="I53" s="14"/>
    </row>
    <row r="54" spans="2:9">
      <c r="B54" s="22" t="s">
        <v>121</v>
      </c>
      <c r="D54" t="s">
        <v>122</v>
      </c>
      <c r="E54" s="42"/>
      <c r="G54" s="14"/>
      <c r="H54" s="50"/>
      <c r="I54" s="14"/>
    </row>
    <row r="55" spans="2:9">
      <c r="B55" s="22"/>
      <c r="D55" t="s">
        <v>123</v>
      </c>
      <c r="E55" s="42"/>
      <c r="F55" t="s">
        <v>58</v>
      </c>
      <c r="G55" s="14"/>
      <c r="H55" s="50">
        <f t="shared" si="1"/>
        <v>0</v>
      </c>
      <c r="I55" s="14"/>
    </row>
    <row r="56" spans="2:9">
      <c r="B56" s="22"/>
      <c r="D56" t="s">
        <v>124</v>
      </c>
      <c r="E56" s="42"/>
      <c r="F56" t="s">
        <v>58</v>
      </c>
      <c r="G56" s="14"/>
      <c r="H56" s="50">
        <f t="shared" si="1"/>
        <v>0</v>
      </c>
      <c r="I56" s="14"/>
    </row>
    <row r="57" spans="2:9">
      <c r="B57" s="22"/>
      <c r="D57" t="s">
        <v>125</v>
      </c>
      <c r="E57" s="42"/>
      <c r="F57" t="s">
        <v>58</v>
      </c>
      <c r="G57" s="14"/>
      <c r="H57" s="50">
        <f t="shared" si="1"/>
        <v>0</v>
      </c>
      <c r="I57" s="14"/>
    </row>
    <row r="58" spans="2:9">
      <c r="B58" s="22" t="s">
        <v>137</v>
      </c>
      <c r="D58" t="s">
        <v>138</v>
      </c>
      <c r="E58" s="42"/>
      <c r="F58" t="s">
        <v>94</v>
      </c>
      <c r="G58" s="14"/>
      <c r="H58" s="50">
        <f t="shared" si="1"/>
        <v>0</v>
      </c>
      <c r="I58" s="14"/>
    </row>
    <row r="59" spans="2:9">
      <c r="B59" s="22" t="s">
        <v>139</v>
      </c>
      <c r="D59" t="s">
        <v>140</v>
      </c>
      <c r="E59" s="42"/>
      <c r="F59" t="s">
        <v>58</v>
      </c>
      <c r="G59" s="14"/>
      <c r="H59" s="50">
        <f t="shared" si="1"/>
        <v>0</v>
      </c>
      <c r="I59" s="14"/>
    </row>
    <row r="60" spans="2:9">
      <c r="B60" s="22" t="s">
        <v>141</v>
      </c>
      <c r="D60" t="s">
        <v>142</v>
      </c>
      <c r="E60" s="42"/>
      <c r="F60" t="s">
        <v>58</v>
      </c>
      <c r="G60" s="14"/>
      <c r="H60" s="50">
        <f t="shared" si="1"/>
        <v>0</v>
      </c>
      <c r="I60" s="14"/>
    </row>
    <row r="61" spans="2:9">
      <c r="B61" s="22" t="s">
        <v>141</v>
      </c>
      <c r="D61" t="s">
        <v>143</v>
      </c>
      <c r="E61" s="42"/>
      <c r="F61" t="s">
        <v>119</v>
      </c>
      <c r="G61" s="14"/>
      <c r="H61" s="50">
        <f t="shared" si="1"/>
        <v>0</v>
      </c>
      <c r="I61" s="14"/>
    </row>
    <row r="62" spans="2:9">
      <c r="B62" s="20"/>
      <c r="E62" s="42"/>
      <c r="G62" s="14"/>
      <c r="H62" s="50"/>
      <c r="I62" s="14"/>
    </row>
    <row r="63" spans="2:9">
      <c r="B63" s="20"/>
      <c r="E63" s="42"/>
      <c r="G63" s="14"/>
      <c r="H63" s="51"/>
      <c r="I63" s="14"/>
    </row>
    <row r="64" spans="2:9">
      <c r="B64" s="20"/>
      <c r="E64" s="42"/>
      <c r="G64" s="14"/>
      <c r="H64" s="50"/>
      <c r="I64" s="14"/>
    </row>
    <row r="65" spans="2:9">
      <c r="B65" s="20"/>
      <c r="D65" s="2" t="s">
        <v>73</v>
      </c>
      <c r="E65" s="42"/>
      <c r="G65" s="14"/>
      <c r="H65" s="50">
        <f>SUM(H31:H63)</f>
        <v>0</v>
      </c>
      <c r="I65" s="14">
        <f>H65/H9</f>
        <v>0</v>
      </c>
    </row>
    <row r="66" spans="2:9">
      <c r="B66" s="20"/>
      <c r="D66" s="2"/>
      <c r="E66" s="42"/>
      <c r="G66" s="14"/>
      <c r="H66" s="50"/>
      <c r="I66" s="14"/>
    </row>
    <row r="67" spans="2:9">
      <c r="E67" s="42"/>
      <c r="G67" s="14"/>
      <c r="H67" s="50"/>
      <c r="I67" s="14"/>
    </row>
    <row r="68" spans="2:9">
      <c r="B68" s="19" t="s">
        <v>18</v>
      </c>
      <c r="C68" s="2"/>
      <c r="D68" s="2" t="s">
        <v>59</v>
      </c>
      <c r="E68" s="42"/>
      <c r="G68" s="14"/>
      <c r="H68" s="50"/>
      <c r="I68" s="14"/>
    </row>
    <row r="69" spans="2:9">
      <c r="B69" s="22" t="s">
        <v>126</v>
      </c>
      <c r="D69" t="s">
        <v>128</v>
      </c>
      <c r="E69" s="42"/>
      <c r="F69" t="s">
        <v>58</v>
      </c>
      <c r="G69" s="14"/>
      <c r="H69" s="50">
        <f>E69*G69</f>
        <v>0</v>
      </c>
      <c r="I69" s="14"/>
    </row>
    <row r="70" spans="2:9">
      <c r="B70" s="22" t="s">
        <v>126</v>
      </c>
      <c r="D70" s="1" t="s">
        <v>127</v>
      </c>
      <c r="E70" s="42"/>
      <c r="F70" t="s">
        <v>120</v>
      </c>
      <c r="G70" s="14"/>
      <c r="H70" s="50">
        <f>E70*G70</f>
        <v>0</v>
      </c>
      <c r="I70" s="14"/>
    </row>
    <row r="71" spans="2:9">
      <c r="B71" s="22" t="s">
        <v>126</v>
      </c>
      <c r="D71" s="1" t="s">
        <v>129</v>
      </c>
      <c r="E71" s="42"/>
      <c r="F71" t="s">
        <v>120</v>
      </c>
      <c r="G71" s="14"/>
      <c r="H71" s="50">
        <f>E71*G71</f>
        <v>0</v>
      </c>
      <c r="I71" s="14"/>
    </row>
    <row r="72" spans="2:9">
      <c r="B72" s="22" t="s">
        <v>126</v>
      </c>
      <c r="D72" s="1" t="s">
        <v>130</v>
      </c>
      <c r="E72" s="42"/>
      <c r="F72" t="s">
        <v>58</v>
      </c>
      <c r="G72" s="14"/>
      <c r="H72" s="50">
        <f>E72*G72</f>
        <v>0</v>
      </c>
      <c r="I72" s="14"/>
    </row>
    <row r="73" spans="2:9">
      <c r="B73" s="22" t="s">
        <v>134</v>
      </c>
      <c r="D73" s="1" t="s">
        <v>135</v>
      </c>
      <c r="E73" s="42"/>
      <c r="F73" t="s">
        <v>58</v>
      </c>
      <c r="G73" s="14"/>
      <c r="H73" s="50">
        <f>E73*G73</f>
        <v>0</v>
      </c>
      <c r="I73" s="14"/>
    </row>
    <row r="74" spans="2:9">
      <c r="B74" s="22"/>
      <c r="E74" s="42"/>
      <c r="G74" s="14"/>
      <c r="H74" s="50"/>
      <c r="I74" s="14"/>
    </row>
    <row r="75" spans="2:9">
      <c r="B75" s="20" t="s">
        <v>5</v>
      </c>
      <c r="E75" s="42"/>
      <c r="G75" s="14"/>
      <c r="H75" s="50"/>
      <c r="I75" s="14"/>
    </row>
    <row r="76" spans="2:9">
      <c r="B76" s="20"/>
      <c r="E76" s="42"/>
      <c r="G76" s="14"/>
      <c r="H76" s="51"/>
      <c r="I76" s="14"/>
    </row>
    <row r="77" spans="2:9">
      <c r="B77" s="20"/>
      <c r="E77" s="42"/>
      <c r="G77" s="14"/>
      <c r="H77" s="50"/>
      <c r="I77" s="14"/>
    </row>
    <row r="78" spans="2:9">
      <c r="B78" s="20"/>
      <c r="D78" s="2" t="s">
        <v>74</v>
      </c>
      <c r="E78" s="42"/>
      <c r="G78" s="14"/>
      <c r="H78" s="50">
        <f>SUM(H69:H76)</f>
        <v>0</v>
      </c>
      <c r="I78" s="14">
        <f>H78/H9</f>
        <v>0</v>
      </c>
    </row>
    <row r="79" spans="2:9">
      <c r="B79" s="20"/>
      <c r="D79" s="2"/>
      <c r="E79" s="42"/>
      <c r="G79" s="14"/>
      <c r="H79" s="50"/>
      <c r="I79" s="14"/>
    </row>
    <row r="80" spans="2:9">
      <c r="E80" s="42"/>
      <c r="G80" s="14"/>
      <c r="H80" s="50"/>
      <c r="I80" s="14"/>
    </row>
    <row r="81" spans="2:9">
      <c r="B81" s="19" t="s">
        <v>19</v>
      </c>
      <c r="C81" s="2"/>
      <c r="D81" s="2" t="s">
        <v>61</v>
      </c>
      <c r="E81" s="42"/>
      <c r="G81" s="14"/>
      <c r="H81" s="50"/>
      <c r="I81" s="14"/>
    </row>
    <row r="82" spans="2:9">
      <c r="B82" s="22" t="s">
        <v>131</v>
      </c>
      <c r="D82" t="s">
        <v>132</v>
      </c>
      <c r="E82" s="42"/>
      <c r="F82" t="s">
        <v>58</v>
      </c>
      <c r="G82" s="14"/>
      <c r="H82" s="50">
        <f>E82*G82</f>
        <v>0</v>
      </c>
      <c r="I82" s="14"/>
    </row>
    <row r="83" spans="2:9">
      <c r="B83" s="22" t="s">
        <v>133</v>
      </c>
      <c r="D83" s="1" t="s">
        <v>136</v>
      </c>
      <c r="E83" s="42"/>
      <c r="F83" t="s">
        <v>58</v>
      </c>
      <c r="G83" s="14"/>
      <c r="H83" s="50">
        <f>E83*G83</f>
        <v>0</v>
      </c>
      <c r="I83" s="14"/>
    </row>
    <row r="84" spans="2:9">
      <c r="B84" s="20"/>
      <c r="E84" s="42"/>
      <c r="G84" s="14"/>
      <c r="H84" s="50"/>
      <c r="I84" s="14"/>
    </row>
    <row r="85" spans="2:9">
      <c r="B85" s="20"/>
      <c r="E85" s="42"/>
      <c r="G85" s="14"/>
      <c r="H85" s="50"/>
      <c r="I85" s="14"/>
    </row>
    <row r="86" spans="2:9">
      <c r="B86" s="20"/>
      <c r="E86" s="42"/>
      <c r="G86" s="14"/>
      <c r="H86" s="51"/>
      <c r="I86" s="14"/>
    </row>
    <row r="87" spans="2:9">
      <c r="B87" s="20"/>
      <c r="D87" s="2"/>
      <c r="E87" s="42"/>
      <c r="G87" s="14"/>
      <c r="H87" s="50"/>
      <c r="I87" s="14"/>
    </row>
    <row r="88" spans="2:9">
      <c r="B88" s="20"/>
      <c r="D88" s="2" t="s">
        <v>75</v>
      </c>
      <c r="E88" s="42"/>
      <c r="G88" s="14"/>
      <c r="H88" s="50">
        <f>SUM(H82:H86)</f>
        <v>0</v>
      </c>
      <c r="I88" s="14">
        <f>H88/H9</f>
        <v>0</v>
      </c>
    </row>
    <row r="89" spans="2:9">
      <c r="B89" s="20"/>
      <c r="D89" s="2"/>
      <c r="E89" s="42"/>
      <c r="G89" s="14"/>
      <c r="H89" s="50"/>
      <c r="I89" s="14"/>
    </row>
    <row r="90" spans="2:9">
      <c r="E90" s="42"/>
      <c r="G90" s="14"/>
      <c r="H90" s="50"/>
      <c r="I90" s="14"/>
    </row>
    <row r="91" spans="2:9">
      <c r="B91" s="19" t="s">
        <v>20</v>
      </c>
      <c r="C91" s="2"/>
      <c r="D91" s="2" t="s">
        <v>62</v>
      </c>
      <c r="E91" s="42"/>
      <c r="G91" s="14"/>
      <c r="H91" s="50"/>
      <c r="I91" s="14"/>
    </row>
    <row r="92" spans="2:9">
      <c r="B92" s="22" t="s">
        <v>148</v>
      </c>
      <c r="D92" t="s">
        <v>149</v>
      </c>
      <c r="E92" s="42"/>
      <c r="G92" s="14"/>
      <c r="H92" s="50">
        <f>E92*G92</f>
        <v>0</v>
      </c>
      <c r="I92" s="14"/>
    </row>
    <row r="93" spans="2:9">
      <c r="B93" s="20"/>
      <c r="E93" s="42"/>
      <c r="G93" s="14"/>
      <c r="H93" s="50"/>
      <c r="I93" s="14"/>
    </row>
    <row r="94" spans="2:9">
      <c r="B94" s="20"/>
      <c r="E94" s="42"/>
      <c r="G94" s="14"/>
      <c r="H94" s="50"/>
      <c r="I94" s="14"/>
    </row>
    <row r="95" spans="2:9">
      <c r="B95" s="20"/>
      <c r="E95" s="42"/>
      <c r="G95" s="14"/>
      <c r="H95" s="50"/>
      <c r="I95" s="14"/>
    </row>
    <row r="96" spans="2:9">
      <c r="B96" s="20"/>
      <c r="E96" s="42"/>
      <c r="G96" s="14"/>
      <c r="H96" s="51"/>
      <c r="I96" s="14"/>
    </row>
    <row r="97" spans="2:9">
      <c r="B97" s="20"/>
      <c r="E97" s="42"/>
      <c r="G97" s="14"/>
      <c r="H97" s="50"/>
      <c r="I97" s="14"/>
    </row>
    <row r="98" spans="2:9">
      <c r="B98" s="20"/>
      <c r="D98" s="2" t="s">
        <v>76</v>
      </c>
      <c r="E98" s="42"/>
      <c r="G98" s="14"/>
      <c r="H98" s="50">
        <f>SUM(H92:H96)</f>
        <v>0</v>
      </c>
      <c r="I98" s="14">
        <f>H98/H9</f>
        <v>0</v>
      </c>
    </row>
    <row r="99" spans="2:9">
      <c r="B99" s="20"/>
      <c r="D99" s="2"/>
      <c r="E99" s="42"/>
      <c r="G99" s="14"/>
      <c r="H99" s="50"/>
      <c r="I99" s="14"/>
    </row>
    <row r="100" spans="2:9">
      <c r="E100" s="42"/>
      <c r="G100" s="14"/>
      <c r="H100" s="50"/>
      <c r="I100" s="14"/>
    </row>
    <row r="101" spans="2:9">
      <c r="B101" s="19" t="s">
        <v>21</v>
      </c>
      <c r="C101" s="2"/>
      <c r="D101" s="2" t="s">
        <v>63</v>
      </c>
      <c r="E101" s="42"/>
      <c r="G101" s="14"/>
      <c r="H101" s="50"/>
      <c r="I101" s="14"/>
    </row>
    <row r="102" spans="2:9">
      <c r="B102" s="22" t="s">
        <v>190</v>
      </c>
      <c r="D102" t="s">
        <v>191</v>
      </c>
      <c r="E102" s="42"/>
      <c r="F102" t="s">
        <v>58</v>
      </c>
      <c r="G102" s="14"/>
      <c r="H102" s="50">
        <f>E102*G102</f>
        <v>0</v>
      </c>
      <c r="I102" s="14"/>
    </row>
    <row r="103" spans="2:9">
      <c r="B103" s="22" t="s">
        <v>190</v>
      </c>
      <c r="D103" s="2" t="s">
        <v>192</v>
      </c>
      <c r="E103" s="42"/>
      <c r="F103" t="s">
        <v>119</v>
      </c>
      <c r="G103" s="14"/>
      <c r="H103" s="50">
        <f>E103*G103</f>
        <v>0</v>
      </c>
      <c r="I103" s="14"/>
    </row>
    <row r="104" spans="2:9">
      <c r="B104" s="20"/>
      <c r="E104" s="42"/>
      <c r="G104" s="14"/>
      <c r="H104" s="50"/>
      <c r="I104" s="14"/>
    </row>
    <row r="105" spans="2:9">
      <c r="B105" s="20"/>
      <c r="E105" s="42"/>
      <c r="G105" s="14"/>
      <c r="H105" s="50"/>
      <c r="I105" s="14"/>
    </row>
    <row r="106" spans="2:9">
      <c r="B106" s="20"/>
      <c r="E106" s="42"/>
      <c r="G106" s="14"/>
      <c r="H106" s="51"/>
      <c r="I106" s="14"/>
    </row>
    <row r="107" spans="2:9">
      <c r="B107" s="20"/>
      <c r="E107" s="42"/>
      <c r="G107" s="14"/>
      <c r="H107" s="50"/>
      <c r="I107" s="14"/>
    </row>
    <row r="108" spans="2:9">
      <c r="B108" s="20"/>
      <c r="D108" s="2" t="s">
        <v>77</v>
      </c>
      <c r="E108" s="42"/>
      <c r="G108" s="14"/>
      <c r="H108" s="50">
        <f>SUM(H102:H106)</f>
        <v>0</v>
      </c>
      <c r="I108" s="14">
        <f>H108/H9</f>
        <v>0</v>
      </c>
    </row>
    <row r="109" spans="2:9">
      <c r="B109" s="20"/>
      <c r="D109" s="2"/>
      <c r="E109" s="42"/>
      <c r="G109" s="14"/>
      <c r="H109" s="50"/>
      <c r="I109" s="14"/>
    </row>
    <row r="110" spans="2:9">
      <c r="E110" s="42"/>
      <c r="G110" s="14"/>
      <c r="H110" s="50"/>
      <c r="I110" s="14"/>
    </row>
    <row r="111" spans="2:9">
      <c r="B111" s="19" t="s">
        <v>22</v>
      </c>
      <c r="C111" s="2"/>
      <c r="D111" s="2" t="s">
        <v>64</v>
      </c>
      <c r="E111" s="42"/>
      <c r="G111" s="14"/>
      <c r="H111" s="50"/>
      <c r="I111" s="14"/>
    </row>
    <row r="112" spans="2:9">
      <c r="B112" s="20"/>
      <c r="E112" s="42"/>
      <c r="G112" s="14"/>
      <c r="H112" s="50"/>
      <c r="I112" s="14"/>
    </row>
    <row r="113" spans="2:9">
      <c r="B113" s="20"/>
      <c r="E113" s="42"/>
      <c r="G113" s="14"/>
      <c r="H113" s="50"/>
      <c r="I113" s="14"/>
    </row>
    <row r="114" spans="2:9">
      <c r="B114" s="20"/>
      <c r="E114" s="42"/>
      <c r="G114" s="14"/>
      <c r="H114" s="50"/>
      <c r="I114" s="14"/>
    </row>
    <row r="115" spans="2:9">
      <c r="B115" s="20"/>
      <c r="E115" s="42"/>
      <c r="G115" s="14"/>
      <c r="H115" s="50"/>
      <c r="I115" s="14"/>
    </row>
    <row r="116" spans="2:9">
      <c r="B116" s="20"/>
      <c r="E116" s="42"/>
      <c r="G116" s="14"/>
      <c r="H116" s="51"/>
      <c r="I116" s="14"/>
    </row>
    <row r="117" spans="2:9">
      <c r="B117" s="20"/>
      <c r="E117" s="42"/>
      <c r="G117" s="14"/>
      <c r="H117" s="50"/>
      <c r="I117" s="14"/>
    </row>
    <row r="118" spans="2:9">
      <c r="B118" s="20"/>
      <c r="D118" s="2" t="s">
        <v>78</v>
      </c>
      <c r="E118" s="42"/>
      <c r="G118" s="14"/>
      <c r="H118" s="50">
        <f>SUM(H112:H116)</f>
        <v>0</v>
      </c>
      <c r="I118" s="14">
        <f>H118/H9</f>
        <v>0</v>
      </c>
    </row>
    <row r="119" spans="2:9">
      <c r="B119" s="20"/>
      <c r="D119" s="2"/>
      <c r="E119" s="42"/>
      <c r="G119" s="14"/>
      <c r="H119" s="50"/>
      <c r="I119" s="14"/>
    </row>
    <row r="120" spans="2:9">
      <c r="E120" s="42"/>
      <c r="G120" s="14"/>
      <c r="H120" s="50"/>
      <c r="I120" s="14"/>
    </row>
    <row r="121" spans="2:9">
      <c r="B121" s="19" t="s">
        <v>23</v>
      </c>
      <c r="C121" s="2"/>
      <c r="D121" s="2" t="s">
        <v>80</v>
      </c>
      <c r="E121" s="42"/>
      <c r="G121" s="14"/>
      <c r="H121" s="50"/>
      <c r="I121" s="14"/>
    </row>
    <row r="122" spans="2:9">
      <c r="B122" s="22" t="s">
        <v>220</v>
      </c>
      <c r="D122" t="s">
        <v>221</v>
      </c>
      <c r="E122" s="42"/>
      <c r="G122" s="14"/>
      <c r="H122" s="50"/>
      <c r="I122" s="14"/>
    </row>
    <row r="123" spans="2:9">
      <c r="B123" s="22" t="s">
        <v>222</v>
      </c>
      <c r="D123" s="1"/>
      <c r="E123" s="42"/>
      <c r="G123" s="14"/>
      <c r="H123" s="50"/>
      <c r="I123" s="14"/>
    </row>
    <row r="124" spans="2:9">
      <c r="B124" s="20"/>
      <c r="E124" s="42"/>
      <c r="G124" s="14"/>
      <c r="H124" s="50"/>
      <c r="I124" s="14"/>
    </row>
    <row r="125" spans="2:9">
      <c r="B125" s="20"/>
      <c r="E125" s="42"/>
      <c r="G125" s="14"/>
      <c r="H125" s="50"/>
      <c r="I125" s="14"/>
    </row>
    <row r="126" spans="2:9">
      <c r="B126" s="20"/>
      <c r="E126" s="42"/>
      <c r="G126" s="14"/>
      <c r="H126" s="51"/>
      <c r="I126" s="14"/>
    </row>
    <row r="127" spans="2:9">
      <c r="B127" s="20"/>
      <c r="E127" s="42"/>
      <c r="G127" s="14"/>
      <c r="H127" s="50"/>
      <c r="I127" s="14"/>
    </row>
    <row r="128" spans="2:9">
      <c r="B128" s="20"/>
      <c r="D128" s="2" t="s">
        <v>81</v>
      </c>
      <c r="E128" s="42"/>
      <c r="G128" s="14"/>
      <c r="H128" s="50">
        <f>SUM(H122:H126)</f>
        <v>0</v>
      </c>
      <c r="I128" s="14">
        <f>H128/H9</f>
        <v>0</v>
      </c>
    </row>
    <row r="129" spans="2:9">
      <c r="B129" s="20"/>
      <c r="D129" s="2"/>
      <c r="E129" s="42"/>
      <c r="G129" s="14"/>
      <c r="H129" s="50"/>
      <c r="I129" s="14"/>
    </row>
    <row r="130" spans="2:9">
      <c r="E130" s="42"/>
      <c r="G130" s="14"/>
      <c r="H130" s="50"/>
      <c r="I130" s="14"/>
    </row>
    <row r="131" spans="2:9">
      <c r="B131" s="19" t="s">
        <v>24</v>
      </c>
      <c r="C131" s="2"/>
      <c r="D131" s="2" t="s">
        <v>65</v>
      </c>
      <c r="E131" s="42"/>
      <c r="G131" s="14"/>
      <c r="H131" s="50"/>
      <c r="I131" s="14"/>
    </row>
    <row r="132" spans="2:9">
      <c r="B132" s="20"/>
      <c r="E132" s="42"/>
      <c r="G132" s="14"/>
      <c r="H132" s="50"/>
      <c r="I132" s="14"/>
    </row>
    <row r="133" spans="2:9">
      <c r="B133" s="20"/>
      <c r="E133" s="42"/>
      <c r="G133" s="14"/>
      <c r="H133" s="50"/>
      <c r="I133" s="14"/>
    </row>
    <row r="134" spans="2:9">
      <c r="B134" s="20"/>
      <c r="E134" s="42"/>
      <c r="G134" s="14"/>
      <c r="H134" s="50"/>
      <c r="I134" s="14"/>
    </row>
    <row r="135" spans="2:9">
      <c r="B135" s="20"/>
      <c r="E135" s="42"/>
      <c r="G135" s="14"/>
      <c r="H135" s="50"/>
      <c r="I135" s="14"/>
    </row>
    <row r="136" spans="2:9">
      <c r="B136" s="20"/>
      <c r="E136" s="42"/>
      <c r="G136" s="14"/>
      <c r="H136" s="51"/>
      <c r="I136" s="14"/>
    </row>
    <row r="137" spans="2:9">
      <c r="B137" s="20"/>
      <c r="E137" s="42"/>
      <c r="G137" s="14"/>
      <c r="H137" s="50"/>
      <c r="I137" s="14"/>
    </row>
    <row r="138" spans="2:9">
      <c r="B138" s="20"/>
      <c r="D138" s="2" t="s">
        <v>82</v>
      </c>
      <c r="E138" s="42"/>
      <c r="G138" s="14"/>
      <c r="H138" s="50">
        <f>SUM(H132:H136)</f>
        <v>0</v>
      </c>
      <c r="I138" s="14">
        <f>H138/H9</f>
        <v>0</v>
      </c>
    </row>
    <row r="139" spans="2:9">
      <c r="B139" s="20"/>
      <c r="D139" s="2"/>
      <c r="E139" s="42"/>
      <c r="G139" s="14"/>
      <c r="H139" s="50"/>
      <c r="I139" s="14"/>
    </row>
    <row r="140" spans="2:9">
      <c r="E140" s="42"/>
      <c r="G140" s="14"/>
      <c r="H140" s="50"/>
      <c r="I140" s="14"/>
    </row>
    <row r="141" spans="2:9">
      <c r="B141" s="21">
        <v>10000</v>
      </c>
      <c r="C141" s="2"/>
      <c r="D141" s="2" t="s">
        <v>66</v>
      </c>
      <c r="E141" s="42"/>
      <c r="G141" s="14"/>
      <c r="H141" s="50"/>
      <c r="I141" s="14"/>
    </row>
    <row r="142" spans="2:9">
      <c r="B142" s="20"/>
      <c r="E142" s="42"/>
      <c r="G142" s="14"/>
      <c r="H142" s="50"/>
      <c r="I142" s="14"/>
    </row>
    <row r="143" spans="2:9">
      <c r="B143" s="20"/>
      <c r="E143" s="42"/>
      <c r="G143" s="14"/>
      <c r="H143" s="50"/>
      <c r="I143" s="14"/>
    </row>
    <row r="144" spans="2:9">
      <c r="B144" s="20"/>
      <c r="E144" s="42"/>
      <c r="G144" s="14"/>
      <c r="H144" s="50"/>
      <c r="I144" s="14"/>
    </row>
    <row r="145" spans="2:9">
      <c r="B145" s="20"/>
      <c r="E145" s="42"/>
      <c r="G145" s="14"/>
      <c r="H145" s="50"/>
      <c r="I145" s="14"/>
    </row>
    <row r="146" spans="2:9">
      <c r="B146" s="20"/>
      <c r="E146" s="42"/>
      <c r="G146" s="14"/>
      <c r="H146" s="51"/>
      <c r="I146" s="14"/>
    </row>
    <row r="147" spans="2:9">
      <c r="B147" s="20"/>
      <c r="E147" s="42"/>
      <c r="G147" s="14"/>
      <c r="H147" s="50"/>
      <c r="I147" s="14"/>
    </row>
    <row r="148" spans="2:9">
      <c r="B148" s="20"/>
      <c r="D148" s="2" t="s">
        <v>83</v>
      </c>
      <c r="E148" s="42"/>
      <c r="G148" s="14"/>
      <c r="H148" s="50">
        <f>SUM(H142:H146)</f>
        <v>0</v>
      </c>
      <c r="I148" s="14">
        <f>H148/H9</f>
        <v>0</v>
      </c>
    </row>
    <row r="149" spans="2:9">
      <c r="B149" s="20"/>
      <c r="D149" s="2"/>
      <c r="E149" s="42"/>
      <c r="G149" s="14"/>
      <c r="H149" s="50"/>
      <c r="I149" s="14"/>
    </row>
    <row r="150" spans="2:9">
      <c r="E150" s="42"/>
      <c r="G150" s="14"/>
      <c r="H150" s="50"/>
      <c r="I150" s="14"/>
    </row>
    <row r="151" spans="2:9">
      <c r="B151" s="21">
        <v>11000</v>
      </c>
      <c r="C151" s="2"/>
      <c r="D151" s="2" t="s">
        <v>67</v>
      </c>
      <c r="E151" s="42"/>
      <c r="G151" s="14"/>
      <c r="H151" s="50"/>
      <c r="I151" s="14"/>
    </row>
    <row r="152" spans="2:9">
      <c r="B152" s="20"/>
      <c r="E152" s="42"/>
      <c r="G152" s="14"/>
      <c r="H152" s="50"/>
      <c r="I152" s="14"/>
    </row>
    <row r="153" spans="2:9">
      <c r="B153" s="20"/>
      <c r="E153" s="42"/>
      <c r="G153" s="14"/>
      <c r="H153" s="50"/>
      <c r="I153" s="14"/>
    </row>
    <row r="154" spans="2:9">
      <c r="B154" s="20"/>
      <c r="E154" s="42"/>
      <c r="G154" s="14"/>
      <c r="H154" s="50"/>
      <c r="I154" s="14"/>
    </row>
    <row r="155" spans="2:9">
      <c r="B155" s="20"/>
      <c r="E155" s="42"/>
      <c r="G155" s="14"/>
      <c r="H155" s="50"/>
      <c r="I155" s="14"/>
    </row>
    <row r="156" spans="2:9">
      <c r="B156" s="20"/>
      <c r="E156" s="42"/>
      <c r="G156" s="14"/>
      <c r="H156" s="51"/>
      <c r="I156" s="14"/>
    </row>
    <row r="157" spans="2:9">
      <c r="B157" s="20"/>
      <c r="E157" s="42"/>
      <c r="G157" s="14"/>
      <c r="H157" s="50"/>
      <c r="I157" s="14"/>
    </row>
    <row r="158" spans="2:9">
      <c r="B158" s="20"/>
      <c r="D158" s="2" t="s">
        <v>84</v>
      </c>
      <c r="E158" s="42"/>
      <c r="G158" s="14"/>
      <c r="H158" s="50">
        <f>SUM(H152:H156)</f>
        <v>0</v>
      </c>
      <c r="I158" s="14">
        <f>H158/H9</f>
        <v>0</v>
      </c>
    </row>
    <row r="159" spans="2:9">
      <c r="B159" s="20"/>
      <c r="D159" s="2"/>
      <c r="E159" s="42"/>
      <c r="G159" s="14"/>
      <c r="H159" s="50"/>
      <c r="I159" s="14"/>
    </row>
    <row r="160" spans="2:9">
      <c r="E160" s="42"/>
      <c r="G160" s="14"/>
      <c r="H160" s="50"/>
      <c r="I160" s="14"/>
    </row>
    <row r="161" spans="2:9">
      <c r="B161" s="21">
        <v>12000</v>
      </c>
      <c r="C161" s="2"/>
      <c r="D161" s="2" t="s">
        <v>68</v>
      </c>
      <c r="E161" s="42"/>
      <c r="G161" s="14"/>
      <c r="H161" s="50"/>
      <c r="I161" s="14"/>
    </row>
    <row r="162" spans="2:9">
      <c r="B162" s="20"/>
      <c r="E162" s="42"/>
      <c r="G162" s="14"/>
      <c r="H162" s="50"/>
      <c r="I162" s="14"/>
    </row>
    <row r="163" spans="2:9">
      <c r="B163" s="20"/>
      <c r="E163" s="42"/>
      <c r="G163" s="14"/>
      <c r="H163" s="50"/>
      <c r="I163" s="14"/>
    </row>
    <row r="164" spans="2:9">
      <c r="B164" s="20"/>
      <c r="E164" s="42"/>
      <c r="G164" s="14"/>
      <c r="H164" s="50"/>
      <c r="I164" s="14"/>
    </row>
    <row r="165" spans="2:9">
      <c r="B165" s="20"/>
      <c r="E165" s="42"/>
      <c r="G165" s="14"/>
      <c r="H165" s="50"/>
      <c r="I165" s="14"/>
    </row>
    <row r="166" spans="2:9">
      <c r="B166" s="20"/>
      <c r="E166" s="42"/>
      <c r="G166" s="14"/>
      <c r="H166" s="51"/>
      <c r="I166" s="14"/>
    </row>
    <row r="167" spans="2:9">
      <c r="B167" s="20"/>
      <c r="E167" s="42"/>
      <c r="G167" s="14"/>
      <c r="H167" s="50"/>
      <c r="I167" s="14"/>
    </row>
    <row r="168" spans="2:9">
      <c r="B168" s="20"/>
      <c r="D168" s="2" t="s">
        <v>85</v>
      </c>
      <c r="E168" s="42"/>
      <c r="G168" s="14"/>
      <c r="H168" s="50">
        <f>SUM(H162:H166)</f>
        <v>0</v>
      </c>
      <c r="I168" s="14">
        <f>H168/H9</f>
        <v>0</v>
      </c>
    </row>
    <row r="169" spans="2:9">
      <c r="B169" s="20"/>
      <c r="D169" s="2"/>
      <c r="E169" s="42"/>
      <c r="G169" s="14"/>
      <c r="H169" s="50"/>
      <c r="I169" s="14"/>
    </row>
    <row r="170" spans="2:9">
      <c r="E170" s="42"/>
      <c r="G170" s="14"/>
      <c r="H170" s="50"/>
      <c r="I170" s="14"/>
    </row>
    <row r="171" spans="2:9">
      <c r="B171" s="21">
        <v>13000</v>
      </c>
      <c r="C171" s="2"/>
      <c r="D171" s="2" t="s">
        <v>69</v>
      </c>
      <c r="E171" s="42"/>
      <c r="G171" s="14"/>
      <c r="H171" s="50"/>
      <c r="I171" s="14"/>
    </row>
    <row r="172" spans="2:9">
      <c r="B172" s="20"/>
      <c r="E172" s="42"/>
      <c r="G172" s="14"/>
      <c r="H172" s="50"/>
      <c r="I172" s="14"/>
    </row>
    <row r="173" spans="2:9">
      <c r="B173" s="20"/>
      <c r="E173" s="42"/>
      <c r="G173" s="14"/>
      <c r="H173" s="50"/>
      <c r="I173" s="14"/>
    </row>
    <row r="174" spans="2:9">
      <c r="B174" s="20"/>
      <c r="E174" s="42"/>
      <c r="G174" s="14"/>
      <c r="H174" s="50"/>
      <c r="I174" s="14"/>
    </row>
    <row r="175" spans="2:9">
      <c r="B175" s="20"/>
      <c r="E175" s="42"/>
      <c r="G175" s="14"/>
      <c r="H175" s="50"/>
      <c r="I175" s="14"/>
    </row>
    <row r="176" spans="2:9">
      <c r="B176" s="20"/>
      <c r="E176" s="42"/>
      <c r="G176" s="14"/>
      <c r="H176" s="51"/>
      <c r="I176" s="14"/>
    </row>
    <row r="177" spans="2:9">
      <c r="B177" s="20"/>
      <c r="E177" s="42"/>
      <c r="G177" s="14"/>
      <c r="H177" s="50"/>
      <c r="I177" s="14"/>
    </row>
    <row r="178" spans="2:9">
      <c r="B178" s="20"/>
      <c r="D178" s="2" t="s">
        <v>86</v>
      </c>
      <c r="E178" s="42"/>
      <c r="G178" s="14"/>
      <c r="H178" s="50">
        <f>SUM(H172:H176)</f>
        <v>0</v>
      </c>
      <c r="I178" s="14">
        <f>H178/H9</f>
        <v>0</v>
      </c>
    </row>
    <row r="179" spans="2:9">
      <c r="B179" s="20"/>
      <c r="D179" s="2"/>
      <c r="E179" s="42"/>
      <c r="G179" s="14"/>
      <c r="H179" s="50"/>
      <c r="I179" s="14"/>
    </row>
    <row r="180" spans="2:9">
      <c r="E180" s="42"/>
      <c r="G180" s="14"/>
      <c r="H180" s="50"/>
      <c r="I180" s="14"/>
    </row>
    <row r="181" spans="2:9">
      <c r="B181" s="21">
        <v>14000</v>
      </c>
      <c r="C181" s="2"/>
      <c r="D181" s="2" t="s">
        <v>70</v>
      </c>
      <c r="E181" s="42"/>
      <c r="G181" s="14"/>
      <c r="H181" s="50"/>
      <c r="I181" s="14"/>
    </row>
    <row r="182" spans="2:9">
      <c r="B182" s="20"/>
      <c r="E182" s="42"/>
      <c r="G182" s="14"/>
      <c r="H182" s="50"/>
      <c r="I182" s="14"/>
    </row>
    <row r="183" spans="2:9">
      <c r="B183" s="20"/>
      <c r="E183" s="42"/>
      <c r="G183" s="14"/>
      <c r="H183" s="50"/>
      <c r="I183" s="14"/>
    </row>
    <row r="184" spans="2:9">
      <c r="B184" s="20"/>
      <c r="E184" s="42"/>
      <c r="G184" s="14"/>
      <c r="H184" s="50"/>
      <c r="I184" s="14"/>
    </row>
    <row r="185" spans="2:9">
      <c r="B185" s="20"/>
      <c r="E185" s="42"/>
      <c r="G185" s="14"/>
      <c r="H185" s="50"/>
      <c r="I185" s="14"/>
    </row>
    <row r="186" spans="2:9">
      <c r="B186" s="20"/>
      <c r="E186" s="42"/>
      <c r="G186" s="14"/>
      <c r="H186" s="51"/>
      <c r="I186" s="14"/>
    </row>
    <row r="187" spans="2:9">
      <c r="B187" s="20"/>
      <c r="E187" s="42"/>
      <c r="G187" s="14"/>
      <c r="H187" s="50"/>
      <c r="I187" s="14"/>
    </row>
    <row r="188" spans="2:9">
      <c r="B188" s="20"/>
      <c r="D188" s="2" t="s">
        <v>87</v>
      </c>
      <c r="E188" s="42"/>
      <c r="G188" s="14"/>
      <c r="H188" s="50">
        <f>SUM(H182:H186)</f>
        <v>0</v>
      </c>
      <c r="I188" s="14">
        <f>H188/H9</f>
        <v>0</v>
      </c>
    </row>
    <row r="189" spans="2:9">
      <c r="B189" s="20"/>
      <c r="D189" s="2"/>
      <c r="E189" s="42"/>
      <c r="G189" s="14"/>
      <c r="H189" s="50"/>
      <c r="I189" s="14"/>
    </row>
    <row r="190" spans="2:9">
      <c r="E190" s="42"/>
      <c r="G190" s="14"/>
      <c r="H190" s="50"/>
      <c r="I190" s="14"/>
    </row>
    <row r="191" spans="2:9">
      <c r="B191" s="21">
        <v>15000</v>
      </c>
      <c r="C191" s="2"/>
      <c r="D191" s="2" t="s">
        <v>71</v>
      </c>
      <c r="E191" s="42"/>
      <c r="G191" s="14"/>
      <c r="H191" s="50"/>
      <c r="I191" s="14"/>
    </row>
    <row r="192" spans="2:9">
      <c r="B192" s="20"/>
      <c r="E192" s="42"/>
      <c r="G192" s="14"/>
      <c r="H192" s="50"/>
      <c r="I192" s="14"/>
    </row>
    <row r="193" spans="2:9">
      <c r="B193" s="20"/>
      <c r="E193" s="42"/>
      <c r="G193" s="14"/>
      <c r="H193" s="50"/>
      <c r="I193" s="14"/>
    </row>
    <row r="194" spans="2:9">
      <c r="B194" s="20"/>
      <c r="E194" s="42"/>
      <c r="G194" s="14"/>
      <c r="H194" s="50"/>
      <c r="I194" s="14"/>
    </row>
    <row r="195" spans="2:9">
      <c r="B195" s="20"/>
      <c r="E195" s="42"/>
      <c r="G195" s="14"/>
      <c r="H195" s="50"/>
      <c r="I195" s="14"/>
    </row>
    <row r="196" spans="2:9">
      <c r="B196" s="20"/>
      <c r="E196" s="42"/>
      <c r="G196" s="14"/>
      <c r="H196" s="51"/>
      <c r="I196" s="14"/>
    </row>
    <row r="197" spans="2:9">
      <c r="B197" s="20"/>
      <c r="E197" s="42"/>
      <c r="G197" s="14"/>
      <c r="H197" s="50"/>
      <c r="I197" s="14"/>
    </row>
    <row r="198" spans="2:9">
      <c r="B198" s="20"/>
      <c r="D198" s="2" t="s">
        <v>88</v>
      </c>
      <c r="E198" s="42"/>
      <c r="G198" s="14"/>
      <c r="H198" s="50">
        <f>SUM(H192:H196)</f>
        <v>0</v>
      </c>
      <c r="I198" s="14">
        <f>H198/H9</f>
        <v>0</v>
      </c>
    </row>
    <row r="199" spans="2:9">
      <c r="B199" s="20"/>
      <c r="D199" s="2"/>
      <c r="E199" s="42"/>
      <c r="G199" s="14"/>
      <c r="H199" s="50"/>
      <c r="I199" s="14"/>
    </row>
    <row r="200" spans="2:9">
      <c r="E200" s="42"/>
      <c r="G200" s="14"/>
      <c r="H200" s="50"/>
      <c r="I200" s="14"/>
    </row>
    <row r="201" spans="2:9">
      <c r="B201" s="21">
        <v>16000</v>
      </c>
      <c r="C201" s="2"/>
      <c r="D201" s="2" t="s">
        <v>72</v>
      </c>
      <c r="E201" s="42"/>
      <c r="G201" s="14"/>
      <c r="H201" s="50"/>
      <c r="I201" s="14"/>
    </row>
    <row r="202" spans="2:9">
      <c r="B202" s="20">
        <v>16000</v>
      </c>
      <c r="D202" t="s">
        <v>144</v>
      </c>
      <c r="E202" s="42"/>
      <c r="F202" t="s">
        <v>119</v>
      </c>
      <c r="G202" s="14"/>
      <c r="H202" s="50">
        <f>E202*G202</f>
        <v>0</v>
      </c>
      <c r="I202" s="14"/>
    </row>
    <row r="203" spans="2:9">
      <c r="B203" s="20">
        <v>16900</v>
      </c>
      <c r="D203" s="1" t="s">
        <v>145</v>
      </c>
      <c r="E203" s="42"/>
      <c r="F203" t="s">
        <v>94</v>
      </c>
      <c r="G203" s="14"/>
      <c r="H203" s="50">
        <f>E203*G203</f>
        <v>0</v>
      </c>
      <c r="I203" s="14"/>
    </row>
    <row r="204" spans="2:9">
      <c r="B204" s="20">
        <v>16900</v>
      </c>
      <c r="D204" s="1" t="s">
        <v>146</v>
      </c>
      <c r="E204" s="42"/>
      <c r="F204" t="s">
        <v>119</v>
      </c>
      <c r="G204" s="14"/>
      <c r="H204" s="50">
        <f>E204*G204</f>
        <v>0</v>
      </c>
      <c r="I204" s="14"/>
    </row>
    <row r="205" spans="2:9">
      <c r="B205" s="20">
        <v>16900</v>
      </c>
      <c r="D205" s="1" t="s">
        <v>147</v>
      </c>
      <c r="E205" s="42"/>
      <c r="F205" t="s">
        <v>58</v>
      </c>
      <c r="G205" s="14"/>
      <c r="H205" s="50">
        <f>E205*G205</f>
        <v>0</v>
      </c>
      <c r="I205" s="14"/>
    </row>
    <row r="206" spans="2:9">
      <c r="B206" s="20"/>
      <c r="E206" s="42"/>
      <c r="G206" s="14"/>
      <c r="H206" s="51"/>
      <c r="I206" s="14"/>
    </row>
    <row r="207" spans="2:9">
      <c r="E207" s="42"/>
      <c r="G207" s="14"/>
      <c r="H207" s="50"/>
      <c r="I207" s="14"/>
    </row>
    <row r="208" spans="2:9">
      <c r="D208" s="2" t="s">
        <v>89</v>
      </c>
      <c r="E208" s="42"/>
      <c r="G208" s="14"/>
      <c r="H208" s="50">
        <f>SUM(H202:H206)</f>
        <v>0</v>
      </c>
      <c r="I208" s="14">
        <f>H208/H9</f>
        <v>0</v>
      </c>
    </row>
    <row r="209" spans="4:9">
      <c r="E209" s="42"/>
      <c r="H209" s="50"/>
      <c r="I209" s="14"/>
    </row>
    <row r="210" spans="4:9">
      <c r="E210" s="42"/>
      <c r="H210" s="50"/>
      <c r="I210" s="14"/>
    </row>
    <row r="211" spans="4:9">
      <c r="E211" s="42"/>
      <c r="H211" s="50"/>
      <c r="I211" s="14"/>
    </row>
    <row r="212" spans="4:9">
      <c r="D212" s="54" t="s">
        <v>150</v>
      </c>
      <c r="E212" s="42"/>
      <c r="H212" s="55">
        <f>SUM(H27+H65+H78+H88+H98+H108+H118+H128+H138+H148+H158+H168+H178+H188+H198+H208)</f>
        <v>0</v>
      </c>
      <c r="I212" s="56">
        <f>H212/H9</f>
        <v>0</v>
      </c>
    </row>
  </sheetData>
  <phoneticPr fontId="0" type="noConversion"/>
  <pageMargins left="0.75" right="0.75" top="1" bottom="1" header="0.5" footer="0.5"/>
  <pageSetup orientation="portrait"/>
  <headerFooter alignWithMargins="0">
    <oddHeader>&amp;L&amp;"Arial,Bold"Conceptual Estimate
OFF-SITE DETAIL&amp;C&amp;"Californian FB,Bold"&amp;14&amp;UJL Pieretti Construction Co.&amp;R&amp;D</oddHeader>
    <oddFooter>&amp;C&amp;P of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50"/>
  <sheetViews>
    <sheetView topLeftCell="D19" zoomScale="125" zoomScaleNormal="125" workbookViewId="0">
      <selection activeCell="D6" sqref="D6"/>
    </sheetView>
  </sheetViews>
  <sheetFormatPr baseColWidth="10" defaultColWidth="8.83203125" defaultRowHeight="13"/>
  <cols>
    <col min="1" max="1" width="1.6640625" customWidth="1"/>
    <col min="2" max="2" width="7.6640625" style="9" customWidth="1"/>
    <col min="3" max="3" width="2.1640625" customWidth="1"/>
    <col min="4" max="4" width="32" customWidth="1"/>
    <col min="5" max="5" width="8.1640625" bestFit="1" customWidth="1"/>
    <col min="7" max="7" width="10.1640625" customWidth="1"/>
    <col min="8" max="8" width="10.5" style="14" bestFit="1" customWidth="1"/>
  </cols>
  <sheetData>
    <row r="1" spans="1:9">
      <c r="A1" s="1" t="s">
        <v>0</v>
      </c>
      <c r="B1" s="5"/>
      <c r="C1" s="1"/>
      <c r="D1" s="2" t="str">
        <f>'Systems Summary'!D7</f>
        <v>356 S Daniel Way, San Jose, CA 95128</v>
      </c>
      <c r="E1" s="1" t="s">
        <v>3</v>
      </c>
      <c r="F1" s="1"/>
      <c r="G1" s="1"/>
      <c r="H1" s="18" t="str">
        <f>'Systems Summary'!I7</f>
        <v>TI</v>
      </c>
      <c r="I1" s="1"/>
    </row>
    <row r="2" spans="1:9">
      <c r="A2" s="1" t="s">
        <v>2</v>
      </c>
      <c r="B2" s="5"/>
      <c r="C2" s="1"/>
      <c r="D2" s="1" t="str">
        <f>'Systems Summary'!D8</f>
        <v>Close to Santana Row</v>
      </c>
      <c r="E2" s="1" t="s">
        <v>4</v>
      </c>
      <c r="F2" s="1"/>
      <c r="G2" s="1"/>
      <c r="H2" s="18" t="str">
        <f>'Systems Summary'!I8</f>
        <v>Tilt Up</v>
      </c>
      <c r="I2" s="1"/>
    </row>
    <row r="3" spans="1:9">
      <c r="A3" s="1"/>
      <c r="B3" s="5"/>
      <c r="C3" s="1"/>
      <c r="D3" s="1" t="s">
        <v>5</v>
      </c>
      <c r="E3" s="1" t="s">
        <v>6</v>
      </c>
      <c r="F3" s="1"/>
      <c r="G3" s="1"/>
      <c r="H3" s="36" t="str">
        <f>'Systems Summary'!I9</f>
        <v>NA</v>
      </c>
      <c r="I3" s="1"/>
    </row>
    <row r="4" spans="1:9">
      <c r="A4" s="1"/>
      <c r="B4" s="5"/>
      <c r="C4" s="1"/>
      <c r="D4" s="1"/>
      <c r="E4" s="1" t="s">
        <v>7</v>
      </c>
      <c r="F4" s="1"/>
      <c r="G4" s="1"/>
      <c r="H4" s="36">
        <f>'Systems Summary'!I10</f>
        <v>1</v>
      </c>
      <c r="I4" s="1"/>
    </row>
    <row r="5" spans="1:9">
      <c r="A5" s="1" t="s">
        <v>1</v>
      </c>
      <c r="B5" s="5"/>
      <c r="C5" s="1"/>
      <c r="D5" s="2" t="str">
        <f>'Systems Summary'!D12</f>
        <v>N/A</v>
      </c>
      <c r="E5" s="1" t="s">
        <v>8</v>
      </c>
      <c r="F5" s="1"/>
      <c r="G5" s="1"/>
      <c r="H5" s="36">
        <f>'Systems Summary'!I11</f>
        <v>2</v>
      </c>
      <c r="I5" s="1"/>
    </row>
    <row r="6" spans="1:9">
      <c r="A6" s="1"/>
      <c r="B6" s="5"/>
      <c r="C6" s="1"/>
      <c r="D6" s="2">
        <f>'Systems Summary'!D15</f>
        <v>0</v>
      </c>
      <c r="E6" s="1" t="s">
        <v>57</v>
      </c>
      <c r="F6" s="1"/>
      <c r="G6" s="1"/>
      <c r="H6" s="36">
        <f>'Systems Summary'!I12</f>
        <v>2</v>
      </c>
      <c r="I6" s="1"/>
    </row>
    <row r="7" spans="1:9">
      <c r="A7" s="1"/>
      <c r="B7" s="5"/>
      <c r="C7" s="1"/>
      <c r="D7" s="1"/>
      <c r="E7" s="1" t="s">
        <v>308</v>
      </c>
      <c r="F7" s="1"/>
      <c r="G7" s="1"/>
      <c r="H7" s="36">
        <f>'Systems Summary'!I15</f>
        <v>0</v>
      </c>
      <c r="I7" s="1" t="s">
        <v>58</v>
      </c>
    </row>
    <row r="8" spans="1:9">
      <c r="A8" s="1"/>
      <c r="B8" s="5"/>
      <c r="C8" s="1"/>
      <c r="D8" s="1"/>
      <c r="E8" s="1" t="s">
        <v>309</v>
      </c>
      <c r="F8" s="1"/>
      <c r="G8" s="1"/>
      <c r="H8" s="36">
        <f>'Systems Summary'!I16</f>
        <v>8720</v>
      </c>
      <c r="I8" s="1" t="s">
        <v>58</v>
      </c>
    </row>
    <row r="9" spans="1:9">
      <c r="A9" s="1"/>
      <c r="B9" s="5"/>
      <c r="C9" s="1"/>
      <c r="D9" s="1"/>
      <c r="E9" s="1" t="str">
        <f>'Systems Summary'!F17</f>
        <v>Lease Space/TI Area:</v>
      </c>
      <c r="F9" s="1"/>
      <c r="G9" s="1"/>
      <c r="H9" s="37">
        <f>'Systems Summary'!I17</f>
        <v>8720</v>
      </c>
      <c r="I9" s="1" t="s">
        <v>58</v>
      </c>
    </row>
    <row r="10" spans="1:9">
      <c r="E10" s="1" t="s">
        <v>9</v>
      </c>
      <c r="H10" s="38" t="str">
        <f>'Systems Summary'!I18</f>
        <v>NA</v>
      </c>
      <c r="I10" t="s">
        <v>58</v>
      </c>
    </row>
    <row r="11" spans="1:9">
      <c r="E11" s="1" t="s">
        <v>189</v>
      </c>
      <c r="H11" s="38" t="str">
        <f>'Systems Summary'!I19</f>
        <v>NA</v>
      </c>
      <c r="I11" t="s">
        <v>58</v>
      </c>
    </row>
    <row r="12" spans="1:9">
      <c r="E12" s="1" t="s">
        <v>307</v>
      </c>
      <c r="H12" s="38" t="str">
        <f>'Systems Summary'!I20</f>
        <v>NA</v>
      </c>
      <c r="I12" t="s">
        <v>58</v>
      </c>
    </row>
    <row r="13" spans="1:9" ht="14" thickBot="1">
      <c r="B13" s="8"/>
      <c r="C13" s="3"/>
      <c r="D13" s="3"/>
      <c r="E13" s="3"/>
      <c r="F13" s="3"/>
      <c r="G13" s="3"/>
      <c r="H13" s="11"/>
      <c r="I13" s="3"/>
    </row>
    <row r="14" spans="1:9">
      <c r="B14" s="6" t="s">
        <v>10</v>
      </c>
      <c r="C14" s="1"/>
      <c r="D14" s="1"/>
      <c r="E14" s="1"/>
      <c r="F14" s="1"/>
      <c r="G14" s="6" t="s">
        <v>14</v>
      </c>
      <c r="H14" s="12" t="s">
        <v>39</v>
      </c>
      <c r="I14" s="6" t="s">
        <v>15</v>
      </c>
    </row>
    <row r="15" spans="1:9" ht="14" thickBot="1">
      <c r="B15" s="7" t="s">
        <v>11</v>
      </c>
      <c r="C15" s="4"/>
      <c r="D15" s="7" t="s">
        <v>12</v>
      </c>
      <c r="E15" s="7" t="s">
        <v>38</v>
      </c>
      <c r="F15" s="7" t="s">
        <v>14</v>
      </c>
      <c r="G15" s="7" t="s">
        <v>15</v>
      </c>
      <c r="H15" s="13" t="s">
        <v>15</v>
      </c>
      <c r="I15" s="7" t="s">
        <v>40</v>
      </c>
    </row>
    <row r="16" spans="1:9" ht="14" thickTop="1"/>
    <row r="17" spans="2:9">
      <c r="B17" s="10" t="s">
        <v>16</v>
      </c>
      <c r="D17" t="s">
        <v>90</v>
      </c>
      <c r="E17" s="42"/>
      <c r="G17" s="14"/>
      <c r="H17" s="50">
        <f>'Site Detail'!H27</f>
        <v>0</v>
      </c>
      <c r="I17" s="14"/>
    </row>
    <row r="18" spans="2:9">
      <c r="B18" s="10" t="s">
        <v>17</v>
      </c>
      <c r="D18" t="s">
        <v>53</v>
      </c>
      <c r="E18" s="42"/>
      <c r="G18" s="14"/>
      <c r="H18" s="50">
        <f>'Site Detail'!H67</f>
        <v>0</v>
      </c>
      <c r="I18" s="14"/>
    </row>
    <row r="19" spans="2:9">
      <c r="B19" s="10" t="s">
        <v>18</v>
      </c>
      <c r="D19" t="s">
        <v>25</v>
      </c>
      <c r="E19" s="42"/>
      <c r="G19" s="14"/>
      <c r="H19" s="50">
        <f>'Site Detail'!H84</f>
        <v>0</v>
      </c>
      <c r="I19" s="14"/>
    </row>
    <row r="20" spans="2:9">
      <c r="B20" s="10" t="s">
        <v>19</v>
      </c>
      <c r="D20" t="s">
        <v>26</v>
      </c>
      <c r="E20" s="42"/>
      <c r="G20" s="14"/>
      <c r="H20" s="50">
        <f>'Site Detail'!H94</f>
        <v>0</v>
      </c>
      <c r="I20" s="14"/>
    </row>
    <row r="21" spans="2:9">
      <c r="B21" s="10" t="s">
        <v>20</v>
      </c>
      <c r="D21" t="s">
        <v>27</v>
      </c>
      <c r="E21" s="42"/>
      <c r="G21" s="14"/>
      <c r="H21" s="50">
        <f>'Site Detail'!H104</f>
        <v>0</v>
      </c>
      <c r="I21" s="14"/>
    </row>
    <row r="22" spans="2:9">
      <c r="B22" s="10" t="s">
        <v>21</v>
      </c>
      <c r="D22" t="s">
        <v>28</v>
      </c>
      <c r="E22" s="42"/>
      <c r="G22" s="14"/>
      <c r="H22" s="50">
        <f>'Site Detail'!H114</f>
        <v>0</v>
      </c>
      <c r="I22" s="14"/>
    </row>
    <row r="23" spans="2:9">
      <c r="B23" s="10" t="s">
        <v>22</v>
      </c>
      <c r="D23" t="s">
        <v>29</v>
      </c>
      <c r="E23" s="42"/>
      <c r="G23" s="14"/>
      <c r="H23" s="50">
        <f>'Site Detail'!H124</f>
        <v>0</v>
      </c>
      <c r="I23" s="14"/>
    </row>
    <row r="24" spans="2:9">
      <c r="B24" s="10" t="s">
        <v>23</v>
      </c>
      <c r="D24" t="s">
        <v>79</v>
      </c>
      <c r="E24" s="42"/>
      <c r="G24" s="14"/>
      <c r="H24" s="50">
        <f>'Site Detail'!H134</f>
        <v>0</v>
      </c>
      <c r="I24" s="14"/>
    </row>
    <row r="25" spans="2:9">
      <c r="B25" s="10" t="s">
        <v>24</v>
      </c>
      <c r="D25" t="s">
        <v>30</v>
      </c>
      <c r="E25" s="42"/>
      <c r="G25" s="14"/>
      <c r="H25" s="50">
        <f>'Site Detail'!H144</f>
        <v>0</v>
      </c>
      <c r="I25" s="14"/>
    </row>
    <row r="26" spans="2:9">
      <c r="B26" s="9">
        <v>10000</v>
      </c>
      <c r="D26" t="s">
        <v>31</v>
      </c>
      <c r="E26" s="42"/>
      <c r="G26" s="14"/>
      <c r="H26" s="50">
        <f>'Site Detail'!H154</f>
        <v>0</v>
      </c>
      <c r="I26" s="14"/>
    </row>
    <row r="27" spans="2:9">
      <c r="B27" s="9">
        <v>11000</v>
      </c>
      <c r="D27" t="s">
        <v>32</v>
      </c>
      <c r="E27" s="42"/>
      <c r="G27" s="14"/>
      <c r="H27" s="50">
        <f>'Site Detail'!H164</f>
        <v>0</v>
      </c>
      <c r="I27" s="14"/>
    </row>
    <row r="28" spans="2:9">
      <c r="B28" s="9">
        <v>12000</v>
      </c>
      <c r="D28" t="s">
        <v>33</v>
      </c>
      <c r="E28" s="42"/>
      <c r="G28" s="14"/>
      <c r="H28" s="50">
        <f>'Site Detail'!H174</f>
        <v>0</v>
      </c>
      <c r="I28" s="14"/>
    </row>
    <row r="29" spans="2:9">
      <c r="B29" s="9">
        <v>13000</v>
      </c>
      <c r="D29" t="s">
        <v>34</v>
      </c>
      <c r="E29" s="42"/>
      <c r="G29" s="14"/>
      <c r="H29" s="50">
        <f>'Site Detail'!H184</f>
        <v>0</v>
      </c>
      <c r="I29" s="14"/>
    </row>
    <row r="30" spans="2:9">
      <c r="B30" s="9">
        <v>14000</v>
      </c>
      <c r="D30" t="s">
        <v>35</v>
      </c>
      <c r="E30" s="42"/>
      <c r="G30" s="14"/>
      <c r="H30" s="50">
        <f>'Site Detail'!H194</f>
        <v>0</v>
      </c>
      <c r="I30" s="14"/>
    </row>
    <row r="31" spans="2:9">
      <c r="B31" s="9">
        <v>15000</v>
      </c>
      <c r="D31" t="s">
        <v>36</v>
      </c>
      <c r="E31" s="42"/>
      <c r="G31" s="14"/>
      <c r="H31" s="50">
        <f>'Site Detail'!H204</f>
        <v>0</v>
      </c>
      <c r="I31" s="14"/>
    </row>
    <row r="32" spans="2:9">
      <c r="B32" s="9">
        <v>16000</v>
      </c>
      <c r="D32" t="s">
        <v>37</v>
      </c>
      <c r="E32" s="42"/>
      <c r="G32" s="14"/>
      <c r="H32" s="50">
        <f>'Site Detail'!H216</f>
        <v>0</v>
      </c>
      <c r="I32" s="14"/>
    </row>
    <row r="33" spans="4:9" ht="14" thickBot="1">
      <c r="G33" s="14"/>
      <c r="H33" s="53"/>
      <c r="I33" s="14"/>
    </row>
    <row r="34" spans="4:9">
      <c r="G34" s="14"/>
      <c r="H34" s="50"/>
      <c r="I34" s="14"/>
    </row>
    <row r="35" spans="4:9">
      <c r="D35" s="2" t="s">
        <v>41</v>
      </c>
      <c r="G35" s="14"/>
      <c r="H35" s="50">
        <f>SUM(H16:H33)</f>
        <v>0</v>
      </c>
      <c r="I35" s="14"/>
    </row>
    <row r="36" spans="4:9">
      <c r="H36" s="50"/>
      <c r="I36" s="14"/>
    </row>
    <row r="37" spans="4:9">
      <c r="D37" t="s">
        <v>42</v>
      </c>
      <c r="E37" s="16" t="s">
        <v>5</v>
      </c>
      <c r="H37" s="50"/>
      <c r="I37" s="14"/>
    </row>
    <row r="38" spans="4:9">
      <c r="D38" t="s">
        <v>43</v>
      </c>
      <c r="E38" s="16" t="s">
        <v>5</v>
      </c>
      <c r="H38" s="50"/>
      <c r="I38" s="14"/>
    </row>
    <row r="39" spans="4:9">
      <c r="D39" t="s">
        <v>44</v>
      </c>
      <c r="E39" s="16"/>
      <c r="H39" s="50"/>
      <c r="I39" s="14"/>
    </row>
    <row r="40" spans="4:9">
      <c r="D40" t="s">
        <v>45</v>
      </c>
      <c r="E40" s="16"/>
      <c r="H40" s="50"/>
      <c r="I40" s="14"/>
    </row>
    <row r="41" spans="4:9">
      <c r="D41" t="s">
        <v>46</v>
      </c>
      <c r="E41" s="16"/>
      <c r="H41" s="50"/>
      <c r="I41" s="14"/>
    </row>
    <row r="42" spans="4:9">
      <c r="D42" t="s">
        <v>47</v>
      </c>
      <c r="E42" s="16"/>
      <c r="H42" s="50"/>
      <c r="I42" s="14"/>
    </row>
    <row r="43" spans="4:9" ht="14" thickBot="1">
      <c r="H43" s="53"/>
      <c r="I43" s="14"/>
    </row>
    <row r="44" spans="4:9">
      <c r="H44" s="50"/>
      <c r="I44" s="14"/>
    </row>
    <row r="45" spans="4:9">
      <c r="D45" s="2" t="s">
        <v>41</v>
      </c>
      <c r="H45" s="50">
        <f>SUM(H34:H43)</f>
        <v>0</v>
      </c>
      <c r="I45" s="14"/>
    </row>
    <row r="46" spans="4:9">
      <c r="H46" s="50"/>
      <c r="I46" s="14"/>
    </row>
    <row r="47" spans="4:9">
      <c r="D47" t="s">
        <v>48</v>
      </c>
      <c r="E47" s="16"/>
      <c r="H47" s="50"/>
      <c r="I47" s="14"/>
    </row>
    <row r="48" spans="4:9" ht="14" thickBot="1">
      <c r="H48" s="53"/>
      <c r="I48" s="14"/>
    </row>
    <row r="49" spans="4:9">
      <c r="H49" s="50"/>
      <c r="I49" s="14"/>
    </row>
    <row r="50" spans="4:9">
      <c r="D50" s="54" t="s">
        <v>50</v>
      </c>
      <c r="H50" s="50">
        <f>SUM(H44:H48)</f>
        <v>0</v>
      </c>
      <c r="I50" s="14"/>
    </row>
  </sheetData>
  <phoneticPr fontId="0" type="noConversion"/>
  <pageMargins left="0.75" right="0.75" top="1" bottom="1" header="0.5" footer="0.5"/>
  <pageSetup orientation="portrait"/>
  <headerFooter alignWithMargins="0">
    <oddHeader>&amp;L&amp;"Arial,Bold"Conceptual Estimate
SITE SUMMARY&amp;C&amp;"Californian FB,Bold"&amp;14&amp;UJL Pieretti Construction Co.&amp;R&amp;D</oddHeader>
    <oddFooter>&amp;C&amp;P of &amp;N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220"/>
  <sheetViews>
    <sheetView topLeftCell="B197" zoomScale="125" zoomScaleNormal="125" workbookViewId="0">
      <selection activeCell="D7" sqref="D7"/>
    </sheetView>
  </sheetViews>
  <sheetFormatPr baseColWidth="10" defaultColWidth="8.83203125" defaultRowHeight="13"/>
  <cols>
    <col min="1" max="1" width="1.6640625" customWidth="1"/>
    <col min="2" max="2" width="7.6640625" customWidth="1"/>
    <col min="3" max="3" width="1.6640625" customWidth="1"/>
    <col min="4" max="4" width="32" customWidth="1"/>
    <col min="7" max="7" width="11.5" style="14" bestFit="1" customWidth="1"/>
    <col min="8" max="8" width="11.5" style="50" bestFit="1" customWidth="1"/>
    <col min="9" max="9" width="10.5" bestFit="1" customWidth="1"/>
  </cols>
  <sheetData>
    <row r="1" spans="1:9">
      <c r="A1" s="1" t="s">
        <v>0</v>
      </c>
      <c r="B1" s="5"/>
      <c r="C1" s="1"/>
      <c r="D1" s="2" t="str">
        <f>'Systems Summary'!D7</f>
        <v>356 S Daniel Way, San Jose, CA 95128</v>
      </c>
      <c r="E1" s="1" t="s">
        <v>3</v>
      </c>
      <c r="F1" s="1"/>
      <c r="G1" s="17"/>
      <c r="H1" s="45" t="str">
        <f>'Systems Summary'!I7</f>
        <v>TI</v>
      </c>
      <c r="I1" s="1"/>
    </row>
    <row r="2" spans="1:9">
      <c r="A2" s="1" t="s">
        <v>2</v>
      </c>
      <c r="B2" s="5"/>
      <c r="C2" s="1"/>
      <c r="D2" s="1" t="str">
        <f>'Systems Summary'!D8</f>
        <v>Close to Santana Row</v>
      </c>
      <c r="E2" s="1" t="s">
        <v>4</v>
      </c>
      <c r="F2" s="1"/>
      <c r="G2" s="17"/>
      <c r="H2" s="45" t="str">
        <f>'Systems Summary'!I8</f>
        <v>Tilt Up</v>
      </c>
      <c r="I2" s="1"/>
    </row>
    <row r="3" spans="1:9">
      <c r="A3" s="1"/>
      <c r="B3" s="5"/>
      <c r="C3" s="1"/>
      <c r="D3" s="1"/>
      <c r="E3" s="1" t="s">
        <v>6</v>
      </c>
      <c r="F3" s="1"/>
      <c r="G3" s="17"/>
      <c r="H3" s="46" t="str">
        <f>'Systems Summary'!I9</f>
        <v>NA</v>
      </c>
      <c r="I3" s="1"/>
    </row>
    <row r="4" spans="1:9">
      <c r="A4" s="1"/>
      <c r="B4" s="5"/>
      <c r="C4" s="1"/>
      <c r="D4" s="1"/>
      <c r="E4" s="1" t="s">
        <v>7</v>
      </c>
      <c r="F4" s="1"/>
      <c r="G4" s="17"/>
      <c r="H4" s="46">
        <f>'Systems Summary'!I10</f>
        <v>1</v>
      </c>
      <c r="I4" s="1"/>
    </row>
    <row r="5" spans="1:9">
      <c r="A5" s="1" t="s">
        <v>1</v>
      </c>
      <c r="B5" s="5"/>
      <c r="C5" s="1"/>
      <c r="D5" s="2" t="str">
        <f>'Systems Summary'!D12</f>
        <v>N/A</v>
      </c>
      <c r="E5" s="1" t="s">
        <v>8</v>
      </c>
      <c r="F5" s="1"/>
      <c r="G5" s="17"/>
      <c r="H5" s="46">
        <f>'Systems Summary'!I11</f>
        <v>2</v>
      </c>
      <c r="I5" s="1"/>
    </row>
    <row r="6" spans="1:9">
      <c r="A6" s="1"/>
      <c r="B6" s="5"/>
      <c r="C6" s="1"/>
      <c r="D6" s="2">
        <f>'Systems Summary'!D15</f>
        <v>0</v>
      </c>
      <c r="E6" s="1" t="s">
        <v>57</v>
      </c>
      <c r="F6" s="1"/>
      <c r="G6" s="17"/>
      <c r="H6" s="46">
        <f>'Systems Summary'!I12</f>
        <v>2</v>
      </c>
      <c r="I6" s="1"/>
    </row>
    <row r="7" spans="1:9">
      <c r="A7" s="1"/>
      <c r="B7" s="5"/>
      <c r="C7" s="1"/>
      <c r="D7" s="1"/>
      <c r="E7" s="1" t="s">
        <v>308</v>
      </c>
      <c r="F7" s="1"/>
      <c r="G7" s="17"/>
      <c r="H7" s="46">
        <f>'Systems Summary'!I15</f>
        <v>0</v>
      </c>
      <c r="I7" s="1" t="s">
        <v>58</v>
      </c>
    </row>
    <row r="8" spans="1:9">
      <c r="A8" s="1"/>
      <c r="B8" s="5"/>
      <c r="C8" s="1"/>
      <c r="D8" s="1"/>
      <c r="E8" s="1" t="s">
        <v>309</v>
      </c>
      <c r="F8" s="1"/>
      <c r="G8" s="17"/>
      <c r="H8" s="46">
        <f>'Systems Summary'!I16</f>
        <v>8720</v>
      </c>
      <c r="I8" s="1" t="s">
        <v>58</v>
      </c>
    </row>
    <row r="9" spans="1:9">
      <c r="A9" s="1"/>
      <c r="B9" s="5"/>
      <c r="C9" s="1"/>
      <c r="D9" s="1"/>
      <c r="E9" s="1" t="str">
        <f>'Systems Summary'!F17</f>
        <v>Lease Space/TI Area:</v>
      </c>
      <c r="F9" s="1"/>
      <c r="G9" s="17"/>
      <c r="H9" s="45">
        <f>'Systems Summary'!I17</f>
        <v>8720</v>
      </c>
      <c r="I9" s="1" t="s">
        <v>58</v>
      </c>
    </row>
    <row r="10" spans="1:9">
      <c r="E10" s="1" t="s">
        <v>9</v>
      </c>
      <c r="H10" s="47" t="str">
        <f>'Systems Summary'!I18</f>
        <v>NA</v>
      </c>
      <c r="I10" t="s">
        <v>58</v>
      </c>
    </row>
    <row r="11" spans="1:9">
      <c r="E11" s="1" t="s">
        <v>189</v>
      </c>
      <c r="H11" s="47" t="str">
        <f>'Systems Summary'!I19</f>
        <v>NA</v>
      </c>
      <c r="I11" t="s">
        <v>58</v>
      </c>
    </row>
    <row r="12" spans="1:9">
      <c r="E12" s="1" t="s">
        <v>307</v>
      </c>
      <c r="H12" s="47" t="str">
        <f>'Systems Summary'!I20</f>
        <v>NA</v>
      </c>
      <c r="I12" t="s">
        <v>58</v>
      </c>
    </row>
    <row r="13" spans="1:9" ht="14" thickBot="1">
      <c r="B13" s="8"/>
      <c r="C13" s="3"/>
      <c r="D13" s="3"/>
      <c r="E13" s="3"/>
      <c r="F13" s="3"/>
      <c r="G13" s="11"/>
      <c r="H13" s="44"/>
      <c r="I13" s="3"/>
    </row>
    <row r="14" spans="1:9">
      <c r="B14" s="6" t="s">
        <v>10</v>
      </c>
      <c r="C14" s="1"/>
      <c r="D14" s="1"/>
      <c r="E14" s="1"/>
      <c r="F14" s="1"/>
      <c r="G14" s="12" t="s">
        <v>14</v>
      </c>
      <c r="H14" s="48" t="s">
        <v>39</v>
      </c>
      <c r="I14" s="6" t="s">
        <v>15</v>
      </c>
    </row>
    <row r="15" spans="1:9" ht="14" thickBot="1">
      <c r="B15" s="7" t="s">
        <v>11</v>
      </c>
      <c r="C15" s="4"/>
      <c r="D15" s="7" t="s">
        <v>12</v>
      </c>
      <c r="E15" s="7" t="s">
        <v>38</v>
      </c>
      <c r="F15" s="7" t="s">
        <v>14</v>
      </c>
      <c r="G15" s="13" t="s">
        <v>15</v>
      </c>
      <c r="H15" s="49" t="s">
        <v>15</v>
      </c>
      <c r="I15" s="7" t="s">
        <v>40</v>
      </c>
    </row>
    <row r="16" spans="1:9" ht="14" thickTop="1">
      <c r="I16" s="14"/>
    </row>
    <row r="17" spans="2:9">
      <c r="B17" s="19" t="s">
        <v>16</v>
      </c>
      <c r="D17" s="2" t="s">
        <v>223</v>
      </c>
      <c r="E17" s="42"/>
      <c r="I17" s="14"/>
    </row>
    <row r="18" spans="2:9">
      <c r="B18" s="22" t="s">
        <v>224</v>
      </c>
      <c r="D18" t="s">
        <v>225</v>
      </c>
      <c r="E18" s="42"/>
      <c r="F18" t="s">
        <v>58</v>
      </c>
      <c r="H18" s="50">
        <f t="shared" ref="H18:H23" si="0">E18*G18</f>
        <v>0</v>
      </c>
      <c r="I18" s="14"/>
    </row>
    <row r="19" spans="2:9">
      <c r="B19" s="22" t="s">
        <v>226</v>
      </c>
      <c r="D19" t="s">
        <v>227</v>
      </c>
      <c r="E19" s="42"/>
      <c r="F19" t="s">
        <v>58</v>
      </c>
      <c r="H19" s="50">
        <f t="shared" si="0"/>
        <v>0</v>
      </c>
      <c r="I19" s="14"/>
    </row>
    <row r="20" spans="2:9">
      <c r="B20" s="22" t="s">
        <v>229</v>
      </c>
      <c r="D20" t="s">
        <v>228</v>
      </c>
      <c r="E20" s="42"/>
      <c r="F20" t="s">
        <v>119</v>
      </c>
      <c r="G20" s="14">
        <v>65</v>
      </c>
      <c r="H20" s="50">
        <f t="shared" si="0"/>
        <v>0</v>
      </c>
      <c r="I20" s="14"/>
    </row>
    <row r="21" spans="2:9">
      <c r="B21" s="22" t="s">
        <v>230</v>
      </c>
      <c r="D21" t="s">
        <v>231</v>
      </c>
      <c r="E21" s="42"/>
      <c r="F21" t="s">
        <v>94</v>
      </c>
      <c r="G21" s="14">
        <v>2500</v>
      </c>
      <c r="H21" s="50">
        <f t="shared" si="0"/>
        <v>0</v>
      </c>
      <c r="I21" s="14"/>
    </row>
    <row r="22" spans="2:9">
      <c r="B22" s="22" t="s">
        <v>232</v>
      </c>
      <c r="D22" t="s">
        <v>233</v>
      </c>
      <c r="E22" s="42"/>
      <c r="F22" t="s">
        <v>94</v>
      </c>
      <c r="H22" s="50">
        <f t="shared" si="0"/>
        <v>0</v>
      </c>
      <c r="I22" s="14"/>
    </row>
    <row r="23" spans="2:9">
      <c r="B23" s="22" t="s">
        <v>234</v>
      </c>
      <c r="D23" t="s">
        <v>235</v>
      </c>
      <c r="E23" s="42"/>
      <c r="F23" t="s">
        <v>120</v>
      </c>
      <c r="H23" s="50">
        <f t="shared" si="0"/>
        <v>0</v>
      </c>
      <c r="I23" s="14"/>
    </row>
    <row r="24" spans="2:9">
      <c r="B24" s="22"/>
      <c r="E24" s="42"/>
      <c r="I24" s="14"/>
    </row>
    <row r="25" spans="2:9">
      <c r="E25" s="42"/>
      <c r="H25" s="51"/>
      <c r="I25" s="14"/>
    </row>
    <row r="26" spans="2:9">
      <c r="E26" s="42"/>
      <c r="H26" s="52"/>
      <c r="I26" s="14"/>
    </row>
    <row r="27" spans="2:9">
      <c r="D27" s="2" t="s">
        <v>236</v>
      </c>
      <c r="E27" s="42"/>
      <c r="H27" s="52">
        <f>SUM(H17:H25)</f>
        <v>0</v>
      </c>
      <c r="I27" s="14">
        <f>H27/H9</f>
        <v>0</v>
      </c>
    </row>
    <row r="28" spans="2:9">
      <c r="E28" s="42"/>
      <c r="I28" s="14"/>
    </row>
    <row r="29" spans="2:9">
      <c r="E29" s="42"/>
      <c r="I29" s="14"/>
    </row>
    <row r="30" spans="2:9">
      <c r="B30" s="19" t="s">
        <v>17</v>
      </c>
      <c r="C30" s="2"/>
      <c r="D30" s="2" t="s">
        <v>60</v>
      </c>
      <c r="E30" s="42"/>
      <c r="I30" s="14"/>
    </row>
    <row r="31" spans="2:9">
      <c r="B31" s="22" t="s">
        <v>95</v>
      </c>
      <c r="D31" t="s">
        <v>93</v>
      </c>
      <c r="E31" s="42"/>
      <c r="F31" t="s">
        <v>94</v>
      </c>
      <c r="G31" s="14">
        <v>5000</v>
      </c>
      <c r="H31" s="50">
        <f>E31*G31</f>
        <v>0</v>
      </c>
      <c r="I31" s="14"/>
    </row>
    <row r="32" spans="2:9">
      <c r="B32" s="22" t="s">
        <v>91</v>
      </c>
      <c r="D32" t="s">
        <v>92</v>
      </c>
      <c r="E32" s="42"/>
      <c r="F32" t="s">
        <v>58</v>
      </c>
      <c r="G32" s="14">
        <v>1</v>
      </c>
      <c r="H32" s="50">
        <f t="shared" ref="H32:H63" si="1">E32*G32</f>
        <v>0</v>
      </c>
      <c r="I32" s="14"/>
    </row>
    <row r="33" spans="2:9">
      <c r="B33" s="22" t="s">
        <v>117</v>
      </c>
      <c r="D33" t="s">
        <v>118</v>
      </c>
      <c r="E33" s="42"/>
      <c r="F33" t="s">
        <v>119</v>
      </c>
      <c r="H33" s="50">
        <f t="shared" si="1"/>
        <v>0</v>
      </c>
      <c r="I33" s="14"/>
    </row>
    <row r="34" spans="2:9">
      <c r="B34" s="22" t="s">
        <v>96</v>
      </c>
      <c r="D34" t="s">
        <v>97</v>
      </c>
      <c r="E34" s="42"/>
      <c r="F34" t="s">
        <v>58</v>
      </c>
      <c r="G34" s="14">
        <v>1.5</v>
      </c>
      <c r="H34" s="50">
        <f t="shared" si="1"/>
        <v>0</v>
      </c>
      <c r="I34" s="14"/>
    </row>
    <row r="35" spans="2:9">
      <c r="B35" s="22" t="s">
        <v>98</v>
      </c>
      <c r="D35" t="s">
        <v>99</v>
      </c>
      <c r="E35" s="42"/>
      <c r="F35" t="s">
        <v>58</v>
      </c>
      <c r="H35" s="50">
        <f t="shared" si="1"/>
        <v>0</v>
      </c>
      <c r="I35" s="14"/>
    </row>
    <row r="36" spans="2:9">
      <c r="B36" s="22" t="s">
        <v>100</v>
      </c>
      <c r="D36" t="s">
        <v>101</v>
      </c>
      <c r="E36" s="42"/>
      <c r="I36" s="14"/>
    </row>
    <row r="37" spans="2:9">
      <c r="B37" s="22"/>
      <c r="D37" t="s">
        <v>106</v>
      </c>
      <c r="E37" s="42"/>
      <c r="F37" t="s">
        <v>94</v>
      </c>
      <c r="G37" s="14">
        <v>10000</v>
      </c>
      <c r="H37" s="50">
        <f t="shared" si="1"/>
        <v>0</v>
      </c>
      <c r="I37" s="14"/>
    </row>
    <row r="38" spans="2:9">
      <c r="B38" s="22"/>
      <c r="D38" t="s">
        <v>113</v>
      </c>
      <c r="E38" s="42"/>
      <c r="F38" t="s">
        <v>94</v>
      </c>
      <c r="G38" s="14">
        <v>2000</v>
      </c>
      <c r="H38" s="50">
        <f t="shared" si="1"/>
        <v>0</v>
      </c>
      <c r="I38" s="14"/>
    </row>
    <row r="39" spans="2:9">
      <c r="B39" s="22"/>
      <c r="D39" t="s">
        <v>105</v>
      </c>
      <c r="E39" s="42"/>
      <c r="F39" t="s">
        <v>94</v>
      </c>
      <c r="G39" s="14">
        <v>15000</v>
      </c>
      <c r="H39" s="50">
        <f t="shared" si="1"/>
        <v>0</v>
      </c>
      <c r="I39" s="14"/>
    </row>
    <row r="40" spans="2:9">
      <c r="B40" s="22"/>
      <c r="D40" t="s">
        <v>107</v>
      </c>
      <c r="E40" s="42"/>
      <c r="F40" t="s">
        <v>120</v>
      </c>
      <c r="H40" s="50">
        <f t="shared" si="1"/>
        <v>0</v>
      </c>
      <c r="I40" s="14"/>
    </row>
    <row r="41" spans="2:9">
      <c r="B41" s="22"/>
      <c r="D41" t="s">
        <v>108</v>
      </c>
      <c r="E41" s="42"/>
      <c r="F41" t="s">
        <v>120</v>
      </c>
      <c r="H41" s="50">
        <f t="shared" si="1"/>
        <v>0</v>
      </c>
      <c r="I41" s="14"/>
    </row>
    <row r="42" spans="2:9">
      <c r="B42" s="22"/>
      <c r="D42" t="s">
        <v>109</v>
      </c>
      <c r="E42" s="42"/>
      <c r="F42" t="s">
        <v>120</v>
      </c>
      <c r="H42" s="50">
        <f t="shared" si="1"/>
        <v>0</v>
      </c>
      <c r="I42" s="14"/>
    </row>
    <row r="43" spans="2:9">
      <c r="B43" s="22"/>
      <c r="D43" t="s">
        <v>110</v>
      </c>
      <c r="E43" s="42"/>
      <c r="F43" t="s">
        <v>120</v>
      </c>
      <c r="H43" s="50">
        <f t="shared" si="1"/>
        <v>0</v>
      </c>
      <c r="I43" s="14"/>
    </row>
    <row r="44" spans="2:9">
      <c r="B44" s="22"/>
      <c r="D44" t="s">
        <v>111</v>
      </c>
      <c r="E44" s="42"/>
      <c r="F44" t="s">
        <v>120</v>
      </c>
      <c r="H44" s="50">
        <f t="shared" si="1"/>
        <v>0</v>
      </c>
      <c r="I44" s="14"/>
    </row>
    <row r="45" spans="2:9">
      <c r="B45" s="22"/>
      <c r="D45" t="s">
        <v>112</v>
      </c>
      <c r="E45" s="42"/>
      <c r="F45" t="s">
        <v>120</v>
      </c>
      <c r="H45" s="50">
        <f t="shared" si="1"/>
        <v>0</v>
      </c>
      <c r="I45" s="14"/>
    </row>
    <row r="46" spans="2:9">
      <c r="B46" s="22"/>
      <c r="D46" t="s">
        <v>113</v>
      </c>
      <c r="E46" s="42"/>
      <c r="F46" t="s">
        <v>94</v>
      </c>
      <c r="G46" s="14">
        <v>1500</v>
      </c>
      <c r="H46" s="50">
        <f t="shared" si="1"/>
        <v>0</v>
      </c>
      <c r="I46" s="14"/>
    </row>
    <row r="47" spans="2:9">
      <c r="B47" s="22"/>
      <c r="D47" t="s">
        <v>102</v>
      </c>
      <c r="E47" s="42"/>
      <c r="F47" t="s">
        <v>119</v>
      </c>
      <c r="H47" s="50">
        <f t="shared" si="1"/>
        <v>0</v>
      </c>
      <c r="I47" s="14"/>
    </row>
    <row r="48" spans="2:9">
      <c r="B48" s="22"/>
      <c r="D48" t="s">
        <v>103</v>
      </c>
      <c r="E48" s="42"/>
      <c r="F48" t="s">
        <v>119</v>
      </c>
      <c r="H48" s="50">
        <f t="shared" si="1"/>
        <v>0</v>
      </c>
      <c r="I48" s="14"/>
    </row>
    <row r="49" spans="2:9">
      <c r="B49" s="22"/>
      <c r="D49" t="s">
        <v>104</v>
      </c>
      <c r="E49" s="42"/>
      <c r="F49" t="s">
        <v>119</v>
      </c>
      <c r="H49" s="50">
        <f t="shared" si="1"/>
        <v>0</v>
      </c>
      <c r="I49" s="14"/>
    </row>
    <row r="50" spans="2:9">
      <c r="B50" s="22"/>
      <c r="D50" t="s">
        <v>114</v>
      </c>
      <c r="E50" s="42"/>
      <c r="F50" t="s">
        <v>120</v>
      </c>
      <c r="H50" s="50">
        <f t="shared" si="1"/>
        <v>0</v>
      </c>
      <c r="I50" s="14"/>
    </row>
    <row r="51" spans="2:9">
      <c r="B51" s="22"/>
      <c r="E51" s="42"/>
      <c r="I51" s="14"/>
    </row>
    <row r="52" spans="2:9">
      <c r="B52" s="22"/>
      <c r="D52" t="s">
        <v>115</v>
      </c>
      <c r="E52" s="42"/>
      <c r="F52" t="s">
        <v>94</v>
      </c>
      <c r="G52" s="14">
        <v>10000</v>
      </c>
      <c r="H52" s="50">
        <f t="shared" si="1"/>
        <v>0</v>
      </c>
      <c r="I52" s="14"/>
    </row>
    <row r="53" spans="2:9">
      <c r="B53" s="22"/>
      <c r="E53" s="42"/>
      <c r="I53" s="14"/>
    </row>
    <row r="54" spans="2:9">
      <c r="B54" s="22"/>
      <c r="D54" t="s">
        <v>116</v>
      </c>
      <c r="E54" s="42"/>
      <c r="F54" t="s">
        <v>94</v>
      </c>
      <c r="G54" s="14">
        <v>7500</v>
      </c>
      <c r="H54" s="50">
        <f t="shared" si="1"/>
        <v>0</v>
      </c>
      <c r="I54" s="14"/>
    </row>
    <row r="55" spans="2:9">
      <c r="B55" s="22" t="s">
        <v>121</v>
      </c>
      <c r="D55" t="s">
        <v>122</v>
      </c>
      <c r="E55" s="42"/>
      <c r="I55" s="14"/>
    </row>
    <row r="56" spans="2:9">
      <c r="B56" s="22"/>
      <c r="D56" t="s">
        <v>123</v>
      </c>
      <c r="E56" s="42"/>
      <c r="F56" t="s">
        <v>58</v>
      </c>
      <c r="H56" s="50">
        <f t="shared" si="1"/>
        <v>0</v>
      </c>
      <c r="I56" s="14"/>
    </row>
    <row r="57" spans="2:9">
      <c r="B57" s="22"/>
      <c r="D57" t="s">
        <v>124</v>
      </c>
      <c r="E57" s="42"/>
      <c r="F57" t="s">
        <v>58</v>
      </c>
      <c r="H57" s="50">
        <f t="shared" si="1"/>
        <v>0</v>
      </c>
      <c r="I57" s="14"/>
    </row>
    <row r="58" spans="2:9">
      <c r="B58" s="22"/>
      <c r="D58" t="s">
        <v>125</v>
      </c>
      <c r="E58" s="42"/>
      <c r="F58" t="s">
        <v>58</v>
      </c>
      <c r="H58" s="50">
        <f t="shared" si="1"/>
        <v>0</v>
      </c>
      <c r="I58" s="14"/>
    </row>
    <row r="59" spans="2:9">
      <c r="B59" s="22" t="s">
        <v>137</v>
      </c>
      <c r="D59" t="s">
        <v>138</v>
      </c>
      <c r="E59" s="42"/>
      <c r="F59" t="s">
        <v>94</v>
      </c>
      <c r="H59" s="50">
        <f t="shared" si="1"/>
        <v>0</v>
      </c>
      <c r="I59" s="14"/>
    </row>
    <row r="60" spans="2:9">
      <c r="B60" s="22" t="s">
        <v>139</v>
      </c>
      <c r="D60" t="s">
        <v>140</v>
      </c>
      <c r="E60" s="42"/>
      <c r="F60" t="s">
        <v>58</v>
      </c>
      <c r="G60" s="14">
        <v>1.25</v>
      </c>
      <c r="H60" s="50">
        <f t="shared" si="1"/>
        <v>0</v>
      </c>
      <c r="I60" s="14"/>
    </row>
    <row r="61" spans="2:9">
      <c r="B61" s="22" t="s">
        <v>141</v>
      </c>
      <c r="D61" t="s">
        <v>142</v>
      </c>
      <c r="E61" s="42"/>
      <c r="F61" t="s">
        <v>58</v>
      </c>
      <c r="G61" s="14">
        <v>1.55</v>
      </c>
      <c r="H61" s="50">
        <f t="shared" si="1"/>
        <v>0</v>
      </c>
      <c r="I61" s="14"/>
    </row>
    <row r="62" spans="2:9">
      <c r="B62" s="22" t="s">
        <v>141</v>
      </c>
      <c r="D62" t="s">
        <v>143</v>
      </c>
      <c r="E62" s="42"/>
      <c r="F62" t="s">
        <v>119</v>
      </c>
      <c r="G62" s="14">
        <v>495</v>
      </c>
      <c r="H62" s="50">
        <f t="shared" si="1"/>
        <v>0</v>
      </c>
      <c r="I62" s="14"/>
    </row>
    <row r="63" spans="2:9">
      <c r="B63" s="22" t="s">
        <v>141</v>
      </c>
      <c r="D63" t="s">
        <v>330</v>
      </c>
      <c r="E63" s="42"/>
      <c r="F63" t="s">
        <v>119</v>
      </c>
      <c r="G63" s="14">
        <v>600</v>
      </c>
      <c r="H63" s="50">
        <f t="shared" si="1"/>
        <v>0</v>
      </c>
      <c r="I63" s="14"/>
    </row>
    <row r="64" spans="2:9">
      <c r="B64" s="20"/>
      <c r="E64" s="42"/>
      <c r="I64" s="14"/>
    </row>
    <row r="65" spans="2:9">
      <c r="B65" s="20"/>
      <c r="E65" s="42"/>
      <c r="H65" s="51"/>
      <c r="I65" s="14"/>
    </row>
    <row r="66" spans="2:9">
      <c r="B66" s="20"/>
      <c r="E66" s="42"/>
      <c r="I66" s="14"/>
    </row>
    <row r="67" spans="2:9">
      <c r="B67" s="20"/>
      <c r="D67" s="2" t="s">
        <v>73</v>
      </c>
      <c r="E67" s="42"/>
      <c r="H67" s="50">
        <f>SUM(H30:H65)</f>
        <v>0</v>
      </c>
      <c r="I67" s="14">
        <f>H67/H9</f>
        <v>0</v>
      </c>
    </row>
    <row r="68" spans="2:9">
      <c r="B68" s="20"/>
      <c r="D68" s="2"/>
      <c r="E68" s="42"/>
      <c r="I68" s="14"/>
    </row>
    <row r="69" spans="2:9">
      <c r="E69" s="42"/>
      <c r="I69" s="14"/>
    </row>
    <row r="70" spans="2:9">
      <c r="B70" s="19" t="s">
        <v>18</v>
      </c>
      <c r="C70" s="2"/>
      <c r="D70" s="2" t="s">
        <v>59</v>
      </c>
      <c r="E70" s="42"/>
      <c r="I70" s="14"/>
    </row>
    <row r="71" spans="2:9">
      <c r="B71" s="22" t="s">
        <v>126</v>
      </c>
      <c r="D71" t="s">
        <v>128</v>
      </c>
      <c r="E71" s="42"/>
      <c r="F71" t="s">
        <v>58</v>
      </c>
      <c r="G71" s="14">
        <v>6.25</v>
      </c>
      <c r="H71" s="50">
        <f t="shared" ref="H71:H81" si="2">E71*G71</f>
        <v>0</v>
      </c>
      <c r="I71" s="14"/>
    </row>
    <row r="72" spans="2:9">
      <c r="B72" s="22" t="s">
        <v>126</v>
      </c>
      <c r="D72" s="1" t="s">
        <v>127</v>
      </c>
      <c r="E72" s="42"/>
      <c r="F72" t="s">
        <v>120</v>
      </c>
      <c r="G72" s="14">
        <v>12</v>
      </c>
      <c r="H72" s="50">
        <f t="shared" si="2"/>
        <v>0</v>
      </c>
      <c r="I72" s="14"/>
    </row>
    <row r="73" spans="2:9">
      <c r="B73" s="22" t="s">
        <v>126</v>
      </c>
      <c r="D73" s="1" t="s">
        <v>129</v>
      </c>
      <c r="E73" s="42"/>
      <c r="F73" t="s">
        <v>120</v>
      </c>
      <c r="H73" s="50">
        <f t="shared" si="2"/>
        <v>0</v>
      </c>
      <c r="I73" s="14"/>
    </row>
    <row r="74" spans="2:9">
      <c r="B74" s="22" t="s">
        <v>126</v>
      </c>
      <c r="D74" s="1" t="s">
        <v>130</v>
      </c>
      <c r="E74" s="42"/>
      <c r="F74" t="s">
        <v>58</v>
      </c>
      <c r="H74" s="50">
        <f t="shared" si="2"/>
        <v>0</v>
      </c>
      <c r="I74" s="14"/>
    </row>
    <row r="75" spans="2:9">
      <c r="B75" s="22" t="s">
        <v>134</v>
      </c>
      <c r="D75" s="1" t="s">
        <v>135</v>
      </c>
      <c r="E75" s="42"/>
      <c r="F75" t="s">
        <v>58</v>
      </c>
      <c r="G75" s="14">
        <v>22.5</v>
      </c>
      <c r="H75" s="50">
        <f t="shared" si="2"/>
        <v>0</v>
      </c>
      <c r="I75" s="14"/>
    </row>
    <row r="76" spans="2:9">
      <c r="B76" s="22" t="s">
        <v>331</v>
      </c>
      <c r="D76" s="1" t="s">
        <v>332</v>
      </c>
      <c r="E76" s="42"/>
      <c r="F76" t="s">
        <v>119</v>
      </c>
      <c r="G76" s="14">
        <v>5000</v>
      </c>
      <c r="H76" s="50">
        <f t="shared" si="2"/>
        <v>0</v>
      </c>
      <c r="I76" s="14"/>
    </row>
    <row r="77" spans="2:9">
      <c r="B77" s="22" t="s">
        <v>333</v>
      </c>
      <c r="D77" s="1" t="s">
        <v>334</v>
      </c>
      <c r="E77" s="42"/>
      <c r="F77" t="s">
        <v>58</v>
      </c>
      <c r="G77" s="14">
        <v>9.25</v>
      </c>
      <c r="H77" s="50">
        <f t="shared" si="2"/>
        <v>0</v>
      </c>
      <c r="I77" s="14"/>
    </row>
    <row r="78" spans="2:9">
      <c r="B78" s="22" t="s">
        <v>335</v>
      </c>
      <c r="D78" s="1" t="s">
        <v>336</v>
      </c>
      <c r="E78" s="42"/>
      <c r="F78" t="s">
        <v>337</v>
      </c>
      <c r="G78" s="14">
        <v>250</v>
      </c>
      <c r="H78" s="50">
        <f t="shared" si="2"/>
        <v>0</v>
      </c>
      <c r="I78" s="14"/>
    </row>
    <row r="79" spans="2:9">
      <c r="B79" s="22" t="s">
        <v>338</v>
      </c>
      <c r="D79" s="1" t="s">
        <v>339</v>
      </c>
      <c r="E79" s="42"/>
      <c r="F79" t="s">
        <v>58</v>
      </c>
      <c r="G79" s="14">
        <v>15</v>
      </c>
      <c r="H79" s="50">
        <f t="shared" si="2"/>
        <v>0</v>
      </c>
      <c r="I79" s="14"/>
    </row>
    <row r="80" spans="2:9">
      <c r="B80" s="22" t="s">
        <v>340</v>
      </c>
      <c r="D80" s="1" t="s">
        <v>341</v>
      </c>
      <c r="E80" s="42"/>
      <c r="F80" t="s">
        <v>58</v>
      </c>
      <c r="G80" s="14">
        <v>18.5</v>
      </c>
      <c r="H80" s="50">
        <f t="shared" si="2"/>
        <v>0</v>
      </c>
      <c r="I80" s="14"/>
    </row>
    <row r="81" spans="2:9">
      <c r="B81" s="22" t="s">
        <v>342</v>
      </c>
      <c r="D81" s="1" t="s">
        <v>343</v>
      </c>
      <c r="E81" s="42"/>
      <c r="F81" t="s">
        <v>337</v>
      </c>
      <c r="G81" s="14">
        <v>400</v>
      </c>
      <c r="H81" s="50">
        <f t="shared" si="2"/>
        <v>0</v>
      </c>
      <c r="I81" s="14"/>
    </row>
    <row r="82" spans="2:9">
      <c r="B82" s="20"/>
      <c r="E82" s="42"/>
      <c r="H82" s="51"/>
      <c r="I82" s="14"/>
    </row>
    <row r="83" spans="2:9">
      <c r="B83" s="20"/>
      <c r="E83" s="42"/>
      <c r="I83" s="14"/>
    </row>
    <row r="84" spans="2:9">
      <c r="B84" s="20"/>
      <c r="D84" s="2" t="s">
        <v>74</v>
      </c>
      <c r="E84" s="42"/>
      <c r="H84" s="50">
        <f>SUM(H71:H82)</f>
        <v>0</v>
      </c>
      <c r="I84" s="14">
        <f>H84/H9</f>
        <v>0</v>
      </c>
    </row>
    <row r="85" spans="2:9">
      <c r="B85" s="20"/>
      <c r="D85" s="2"/>
      <c r="E85" s="42"/>
      <c r="I85" s="14"/>
    </row>
    <row r="86" spans="2:9">
      <c r="E86" s="42"/>
      <c r="I86" s="14"/>
    </row>
    <row r="87" spans="2:9">
      <c r="B87" s="19" t="s">
        <v>19</v>
      </c>
      <c r="C87" s="2"/>
      <c r="D87" s="2" t="s">
        <v>61</v>
      </c>
      <c r="E87" s="42"/>
      <c r="I87" s="14"/>
    </row>
    <row r="88" spans="2:9">
      <c r="B88" s="22" t="s">
        <v>131</v>
      </c>
      <c r="D88" t="s">
        <v>132</v>
      </c>
      <c r="E88" s="42"/>
      <c r="F88" t="s">
        <v>58</v>
      </c>
      <c r="H88" s="50">
        <f>E88*G88</f>
        <v>0</v>
      </c>
      <c r="I88" s="14"/>
    </row>
    <row r="89" spans="2:9">
      <c r="B89" s="22" t="s">
        <v>133</v>
      </c>
      <c r="D89" s="1" t="s">
        <v>136</v>
      </c>
      <c r="E89" s="42"/>
      <c r="F89" t="s">
        <v>58</v>
      </c>
      <c r="H89" s="50">
        <f>E89*G89</f>
        <v>0</v>
      </c>
      <c r="I89" s="14"/>
    </row>
    <row r="90" spans="2:9">
      <c r="B90" s="20"/>
      <c r="E90" s="42"/>
      <c r="I90" s="14"/>
    </row>
    <row r="91" spans="2:9">
      <c r="B91" s="20"/>
      <c r="E91" s="42"/>
      <c r="I91" s="14"/>
    </row>
    <row r="92" spans="2:9">
      <c r="B92" s="20"/>
      <c r="E92" s="42"/>
      <c r="H92" s="51"/>
      <c r="I92" s="14"/>
    </row>
    <row r="93" spans="2:9">
      <c r="B93" s="20"/>
      <c r="D93" s="2"/>
      <c r="E93" s="42"/>
      <c r="I93" s="14"/>
    </row>
    <row r="94" spans="2:9">
      <c r="B94" s="20"/>
      <c r="D94" s="2" t="s">
        <v>75</v>
      </c>
      <c r="E94" s="42"/>
      <c r="H94" s="50">
        <f>SUM(H88:H92)</f>
        <v>0</v>
      </c>
      <c r="I94" s="14">
        <f>H94/H9</f>
        <v>0</v>
      </c>
    </row>
    <row r="95" spans="2:9">
      <c r="B95" s="20"/>
      <c r="D95" s="2"/>
      <c r="E95" s="42"/>
      <c r="I95" s="14"/>
    </row>
    <row r="96" spans="2:9">
      <c r="E96" s="42"/>
      <c r="I96" s="14"/>
    </row>
    <row r="97" spans="2:9">
      <c r="B97" s="19" t="s">
        <v>20</v>
      </c>
      <c r="C97" s="2"/>
      <c r="D97" s="2" t="s">
        <v>62</v>
      </c>
      <c r="E97" s="42"/>
      <c r="I97" s="14"/>
    </row>
    <row r="98" spans="2:9">
      <c r="B98" s="22" t="s">
        <v>148</v>
      </c>
      <c r="D98" t="s">
        <v>149</v>
      </c>
      <c r="E98" s="42"/>
      <c r="F98" t="s">
        <v>119</v>
      </c>
      <c r="H98" s="50">
        <f>E98*G98</f>
        <v>0</v>
      </c>
      <c r="I98" s="14"/>
    </row>
    <row r="99" spans="2:9">
      <c r="B99" s="22" t="s">
        <v>197</v>
      </c>
      <c r="D99" s="1" t="s">
        <v>447</v>
      </c>
      <c r="E99" s="42"/>
      <c r="F99" t="s">
        <v>120</v>
      </c>
      <c r="G99" s="14">
        <v>25</v>
      </c>
      <c r="H99" s="50">
        <f>E99*G99</f>
        <v>0</v>
      </c>
      <c r="I99" s="14"/>
    </row>
    <row r="100" spans="2:9">
      <c r="B100" s="22" t="s">
        <v>198</v>
      </c>
      <c r="D100" s="1" t="s">
        <v>453</v>
      </c>
      <c r="E100" s="42"/>
      <c r="F100" t="s">
        <v>120</v>
      </c>
      <c r="I100" s="14"/>
    </row>
    <row r="101" spans="2:9">
      <c r="B101" s="20" t="s">
        <v>5</v>
      </c>
      <c r="E101" s="42"/>
      <c r="I101" s="14"/>
    </row>
    <row r="102" spans="2:9">
      <c r="B102" s="20"/>
      <c r="E102" s="42"/>
      <c r="H102" s="51"/>
      <c r="I102" s="14"/>
    </row>
    <row r="103" spans="2:9">
      <c r="B103" s="20"/>
      <c r="E103" s="42"/>
      <c r="I103" s="14"/>
    </row>
    <row r="104" spans="2:9">
      <c r="B104" s="20"/>
      <c r="D104" s="2" t="s">
        <v>76</v>
      </c>
      <c r="E104" s="42"/>
      <c r="H104" s="50">
        <f>SUM(H98:H102)</f>
        <v>0</v>
      </c>
      <c r="I104" s="14">
        <f>H104/H9</f>
        <v>0</v>
      </c>
    </row>
    <row r="105" spans="2:9">
      <c r="B105" s="20"/>
      <c r="D105" s="2"/>
      <c r="E105" s="42"/>
      <c r="I105" s="14"/>
    </row>
    <row r="106" spans="2:9">
      <c r="E106" s="42"/>
      <c r="I106" s="14"/>
    </row>
    <row r="107" spans="2:9">
      <c r="B107" s="19" t="s">
        <v>21</v>
      </c>
      <c r="C107" s="2"/>
      <c r="D107" s="2" t="s">
        <v>63</v>
      </c>
      <c r="E107" s="42"/>
      <c r="I107" s="14"/>
    </row>
    <row r="108" spans="2:9">
      <c r="B108" s="22" t="s">
        <v>190</v>
      </c>
      <c r="D108" t="s">
        <v>370</v>
      </c>
      <c r="E108" s="42"/>
      <c r="F108" t="s">
        <v>58</v>
      </c>
      <c r="H108" s="50">
        <f>E108*G108</f>
        <v>0</v>
      </c>
      <c r="I108" s="14"/>
    </row>
    <row r="109" spans="2:9">
      <c r="B109" s="22" t="s">
        <v>371</v>
      </c>
      <c r="D109" s="1" t="s">
        <v>448</v>
      </c>
      <c r="E109" s="42"/>
      <c r="F109" t="s">
        <v>120</v>
      </c>
      <c r="G109" s="14">
        <v>22.5</v>
      </c>
      <c r="H109" s="50">
        <f>E109*G109</f>
        <v>0</v>
      </c>
      <c r="I109" s="14"/>
    </row>
    <row r="110" spans="2:9">
      <c r="B110" s="22" t="s">
        <v>449</v>
      </c>
      <c r="D110" s="1" t="s">
        <v>450</v>
      </c>
      <c r="E110" s="42"/>
      <c r="F110" t="s">
        <v>119</v>
      </c>
      <c r="H110" s="50">
        <f>E110*G110</f>
        <v>0</v>
      </c>
      <c r="I110" s="14"/>
    </row>
    <row r="111" spans="2:9">
      <c r="B111" s="22" t="s">
        <v>451</v>
      </c>
      <c r="D111" s="1" t="s">
        <v>452</v>
      </c>
      <c r="E111" s="42"/>
      <c r="F111" t="s">
        <v>58</v>
      </c>
      <c r="H111" s="50">
        <f>E111*G111</f>
        <v>0</v>
      </c>
      <c r="I111" s="14"/>
    </row>
    <row r="112" spans="2:9">
      <c r="B112" s="20"/>
      <c r="E112" s="42"/>
      <c r="H112" s="51"/>
      <c r="I112" s="14"/>
    </row>
    <row r="113" spans="2:9">
      <c r="B113" s="20"/>
      <c r="E113" s="42"/>
      <c r="I113" s="14"/>
    </row>
    <row r="114" spans="2:9">
      <c r="B114" s="20"/>
      <c r="D114" s="2" t="s">
        <v>77</v>
      </c>
      <c r="E114" s="42"/>
      <c r="H114" s="50">
        <f>SUM(H108:H112)</f>
        <v>0</v>
      </c>
      <c r="I114" s="14">
        <f>H114/H9</f>
        <v>0</v>
      </c>
    </row>
    <row r="115" spans="2:9">
      <c r="B115" s="20"/>
      <c r="D115" s="2"/>
      <c r="E115" s="42"/>
      <c r="I115" s="14"/>
    </row>
    <row r="116" spans="2:9">
      <c r="E116" s="42"/>
      <c r="I116" s="14"/>
    </row>
    <row r="117" spans="2:9">
      <c r="B117" s="19" t="s">
        <v>22</v>
      </c>
      <c r="C117" s="2"/>
      <c r="D117" s="2" t="s">
        <v>64</v>
      </c>
      <c r="E117" s="42"/>
      <c r="I117" s="14"/>
    </row>
    <row r="118" spans="2:9">
      <c r="B118" s="22" t="s">
        <v>381</v>
      </c>
      <c r="D118" t="s">
        <v>454</v>
      </c>
      <c r="E118" s="42"/>
      <c r="F118" t="s">
        <v>58</v>
      </c>
      <c r="H118" s="50">
        <f>E118*G118</f>
        <v>0</v>
      </c>
      <c r="I118" s="14"/>
    </row>
    <row r="119" spans="2:9">
      <c r="B119" s="22" t="s">
        <v>383</v>
      </c>
      <c r="D119" s="1" t="s">
        <v>455</v>
      </c>
      <c r="E119" s="42"/>
      <c r="F119" t="s">
        <v>58</v>
      </c>
      <c r="H119" s="50">
        <f>E119*G119</f>
        <v>0</v>
      </c>
      <c r="I119" s="14"/>
    </row>
    <row r="120" spans="2:9">
      <c r="B120" s="22" t="s">
        <v>389</v>
      </c>
      <c r="D120" s="1" t="s">
        <v>400</v>
      </c>
      <c r="E120" s="42"/>
      <c r="F120" t="s">
        <v>94</v>
      </c>
      <c r="H120" s="50">
        <f>E120*G120</f>
        <v>0</v>
      </c>
      <c r="I120" s="14"/>
    </row>
    <row r="121" spans="2:9">
      <c r="B121" s="20"/>
      <c r="E121" s="42"/>
      <c r="I121" s="14"/>
    </row>
    <row r="122" spans="2:9">
      <c r="B122" s="20"/>
      <c r="E122" s="42"/>
      <c r="H122" s="51"/>
      <c r="I122" s="14"/>
    </row>
    <row r="123" spans="2:9">
      <c r="B123" s="20"/>
      <c r="E123" s="42"/>
      <c r="I123" s="14"/>
    </row>
    <row r="124" spans="2:9">
      <c r="B124" s="20"/>
      <c r="D124" s="2" t="s">
        <v>78</v>
      </c>
      <c r="E124" s="42"/>
      <c r="H124" s="50">
        <f>SUM(H118:H122)</f>
        <v>0</v>
      </c>
      <c r="I124" s="14">
        <f>H124/H9</f>
        <v>0</v>
      </c>
    </row>
    <row r="125" spans="2:9">
      <c r="B125" s="20"/>
      <c r="D125" s="2"/>
      <c r="E125" s="42"/>
      <c r="I125" s="14"/>
    </row>
    <row r="126" spans="2:9">
      <c r="E126" s="42"/>
      <c r="I126" s="14"/>
    </row>
    <row r="127" spans="2:9">
      <c r="B127" s="19" t="s">
        <v>23</v>
      </c>
      <c r="C127" s="2"/>
      <c r="D127" s="2" t="s">
        <v>80</v>
      </c>
      <c r="E127" s="42"/>
      <c r="I127" s="14"/>
    </row>
    <row r="128" spans="2:9">
      <c r="B128" s="22" t="s">
        <v>220</v>
      </c>
      <c r="D128" t="s">
        <v>456</v>
      </c>
      <c r="E128" s="42"/>
      <c r="F128" t="s">
        <v>119</v>
      </c>
      <c r="H128" s="50">
        <f>E128*G128</f>
        <v>0</v>
      </c>
      <c r="I128" s="14"/>
    </row>
    <row r="129" spans="2:9">
      <c r="B129" s="22" t="s">
        <v>457</v>
      </c>
      <c r="D129" s="1" t="s">
        <v>458</v>
      </c>
      <c r="E129" s="42"/>
      <c r="F129" t="s">
        <v>119</v>
      </c>
      <c r="H129" s="50">
        <f>E129*G129</f>
        <v>0</v>
      </c>
      <c r="I129" s="14"/>
    </row>
    <row r="130" spans="2:9">
      <c r="B130" s="22" t="s">
        <v>459</v>
      </c>
      <c r="D130" s="1" t="s">
        <v>460</v>
      </c>
      <c r="E130" s="42"/>
      <c r="F130" t="s">
        <v>119</v>
      </c>
      <c r="H130" s="50">
        <f>E130*G130</f>
        <v>0</v>
      </c>
      <c r="I130" s="14"/>
    </row>
    <row r="131" spans="2:9">
      <c r="B131" s="20"/>
      <c r="E131" s="42"/>
      <c r="I131" s="14"/>
    </row>
    <row r="132" spans="2:9">
      <c r="B132" s="20"/>
      <c r="E132" s="42"/>
      <c r="H132" s="51"/>
      <c r="I132" s="14"/>
    </row>
    <row r="133" spans="2:9">
      <c r="B133" s="20"/>
      <c r="E133" s="42"/>
      <c r="I133" s="14"/>
    </row>
    <row r="134" spans="2:9">
      <c r="B134" s="20"/>
      <c r="D134" s="2" t="s">
        <v>81</v>
      </c>
      <c r="E134" s="42"/>
      <c r="H134" s="50">
        <f>SUM(H128:H132)</f>
        <v>0</v>
      </c>
      <c r="I134" s="14">
        <f>H134/H9</f>
        <v>0</v>
      </c>
    </row>
    <row r="135" spans="2:9">
      <c r="B135" s="20"/>
      <c r="D135" s="2"/>
      <c r="E135" s="42"/>
      <c r="I135" s="14"/>
    </row>
    <row r="136" spans="2:9">
      <c r="E136" s="42"/>
      <c r="I136" s="14"/>
    </row>
    <row r="137" spans="2:9">
      <c r="B137" s="19" t="s">
        <v>24</v>
      </c>
      <c r="C137" s="2"/>
      <c r="D137" s="2" t="s">
        <v>65</v>
      </c>
      <c r="E137" s="42"/>
      <c r="I137" s="14"/>
    </row>
    <row r="138" spans="2:9">
      <c r="B138" s="22" t="s">
        <v>403</v>
      </c>
      <c r="D138" t="s">
        <v>404</v>
      </c>
      <c r="E138" s="42"/>
      <c r="F138" t="s">
        <v>58</v>
      </c>
      <c r="H138" s="50">
        <f>E138*G138</f>
        <v>0</v>
      </c>
      <c r="I138" s="14"/>
    </row>
    <row r="139" spans="2:9">
      <c r="B139" s="22" t="s">
        <v>407</v>
      </c>
      <c r="D139" s="1" t="s">
        <v>155</v>
      </c>
      <c r="E139" s="42"/>
      <c r="F139" t="s">
        <v>58</v>
      </c>
      <c r="H139" s="50">
        <f>E139*G139</f>
        <v>0</v>
      </c>
      <c r="I139" s="14"/>
    </row>
    <row r="140" spans="2:9">
      <c r="B140" s="22" t="s">
        <v>183</v>
      </c>
      <c r="D140" s="1" t="s">
        <v>461</v>
      </c>
      <c r="E140" s="42"/>
      <c r="F140" t="s">
        <v>58</v>
      </c>
      <c r="H140" s="50">
        <f>E140*G140</f>
        <v>0</v>
      </c>
      <c r="I140" s="14"/>
    </row>
    <row r="141" spans="2:9">
      <c r="B141" s="20"/>
      <c r="E141" s="42"/>
      <c r="I141" s="14"/>
    </row>
    <row r="142" spans="2:9">
      <c r="B142" s="20"/>
      <c r="E142" s="42"/>
      <c r="H142" s="51"/>
      <c r="I142" s="14"/>
    </row>
    <row r="143" spans="2:9">
      <c r="B143" s="20"/>
      <c r="E143" s="42"/>
      <c r="I143" s="14"/>
    </row>
    <row r="144" spans="2:9">
      <c r="B144" s="20"/>
      <c r="D144" s="2" t="s">
        <v>82</v>
      </c>
      <c r="E144" s="42"/>
      <c r="H144" s="50">
        <f>SUM(H138:H142)</f>
        <v>0</v>
      </c>
      <c r="I144" s="14">
        <f>H144/H9</f>
        <v>0</v>
      </c>
    </row>
    <row r="145" spans="2:9">
      <c r="B145" s="20"/>
      <c r="D145" s="2"/>
      <c r="E145" s="42"/>
      <c r="I145" s="14"/>
    </row>
    <row r="146" spans="2:9">
      <c r="E146" s="42"/>
      <c r="I146" s="14"/>
    </row>
    <row r="147" spans="2:9">
      <c r="B147" s="21">
        <v>10000</v>
      </c>
      <c r="C147" s="2"/>
      <c r="D147" s="2" t="s">
        <v>66</v>
      </c>
      <c r="E147" s="42"/>
      <c r="I147" s="14"/>
    </row>
    <row r="148" spans="2:9">
      <c r="B148" s="20"/>
      <c r="E148" s="42"/>
      <c r="I148" s="14"/>
    </row>
    <row r="149" spans="2:9">
      <c r="B149" s="20"/>
      <c r="E149" s="42"/>
      <c r="I149" s="14"/>
    </row>
    <row r="150" spans="2:9">
      <c r="B150" s="20"/>
      <c r="E150" s="42"/>
      <c r="I150" s="14"/>
    </row>
    <row r="151" spans="2:9">
      <c r="B151" s="20"/>
      <c r="E151" s="42"/>
      <c r="I151" s="14"/>
    </row>
    <row r="152" spans="2:9">
      <c r="B152" s="20"/>
      <c r="E152" s="42"/>
      <c r="H152" s="51"/>
      <c r="I152" s="14"/>
    </row>
    <row r="153" spans="2:9">
      <c r="B153" s="20"/>
      <c r="E153" s="42"/>
      <c r="I153" s="14"/>
    </row>
    <row r="154" spans="2:9">
      <c r="B154" s="20"/>
      <c r="D154" s="2" t="s">
        <v>83</v>
      </c>
      <c r="E154" s="42"/>
      <c r="H154" s="50">
        <f>SUM(H148:H152)</f>
        <v>0</v>
      </c>
      <c r="I154" s="14">
        <f>H154/H9</f>
        <v>0</v>
      </c>
    </row>
    <row r="155" spans="2:9">
      <c r="B155" s="20"/>
      <c r="D155" s="2"/>
      <c r="E155" s="42"/>
      <c r="I155" s="14"/>
    </row>
    <row r="156" spans="2:9">
      <c r="E156" s="42"/>
      <c r="I156" s="14"/>
    </row>
    <row r="157" spans="2:9">
      <c r="B157" s="21">
        <v>11000</v>
      </c>
      <c r="C157" s="2"/>
      <c r="D157" s="2" t="s">
        <v>67</v>
      </c>
      <c r="E157" s="42"/>
      <c r="I157" s="14"/>
    </row>
    <row r="158" spans="2:9">
      <c r="B158" s="20"/>
      <c r="E158" s="42"/>
      <c r="I158" s="14"/>
    </row>
    <row r="159" spans="2:9">
      <c r="B159" s="20"/>
      <c r="E159" s="42"/>
      <c r="I159" s="14"/>
    </row>
    <row r="160" spans="2:9">
      <c r="B160" s="20"/>
      <c r="E160" s="42"/>
      <c r="I160" s="14"/>
    </row>
    <row r="161" spans="2:9">
      <c r="B161" s="20"/>
      <c r="E161" s="42"/>
      <c r="I161" s="14"/>
    </row>
    <row r="162" spans="2:9">
      <c r="B162" s="20"/>
      <c r="E162" s="42"/>
      <c r="H162" s="51"/>
      <c r="I162" s="14"/>
    </row>
    <row r="163" spans="2:9">
      <c r="B163" s="20"/>
      <c r="E163" s="42"/>
      <c r="I163" s="14"/>
    </row>
    <row r="164" spans="2:9">
      <c r="B164" s="20"/>
      <c r="D164" s="2" t="s">
        <v>84</v>
      </c>
      <c r="E164" s="42"/>
      <c r="H164" s="50">
        <f>SUM(H158:H162)</f>
        <v>0</v>
      </c>
      <c r="I164" s="14">
        <f>H164/H9</f>
        <v>0</v>
      </c>
    </row>
    <row r="165" spans="2:9">
      <c r="B165" s="20"/>
      <c r="D165" s="2"/>
      <c r="E165" s="42"/>
      <c r="I165" s="14"/>
    </row>
    <row r="166" spans="2:9">
      <c r="E166" s="42"/>
      <c r="I166" s="14"/>
    </row>
    <row r="167" spans="2:9">
      <c r="B167" s="21">
        <v>12000</v>
      </c>
      <c r="C167" s="2"/>
      <c r="D167" s="2" t="s">
        <v>68</v>
      </c>
      <c r="E167" s="42"/>
      <c r="I167" s="14"/>
    </row>
    <row r="168" spans="2:9">
      <c r="B168" s="20"/>
      <c r="E168" s="42"/>
      <c r="I168" s="14"/>
    </row>
    <row r="169" spans="2:9">
      <c r="B169" s="20"/>
      <c r="E169" s="42"/>
      <c r="I169" s="14"/>
    </row>
    <row r="170" spans="2:9">
      <c r="B170" s="20"/>
      <c r="E170" s="42"/>
      <c r="I170" s="14"/>
    </row>
    <row r="171" spans="2:9">
      <c r="B171" s="20"/>
      <c r="E171" s="42"/>
      <c r="I171" s="14"/>
    </row>
    <row r="172" spans="2:9">
      <c r="B172" s="20"/>
      <c r="E172" s="42"/>
      <c r="H172" s="51"/>
      <c r="I172" s="14"/>
    </row>
    <row r="173" spans="2:9">
      <c r="B173" s="20"/>
      <c r="E173" s="42"/>
      <c r="I173" s="14"/>
    </row>
    <row r="174" spans="2:9">
      <c r="B174" s="20"/>
      <c r="D174" s="2" t="s">
        <v>85</v>
      </c>
      <c r="E174" s="42"/>
      <c r="H174" s="50">
        <f>SUM(H168:H172)</f>
        <v>0</v>
      </c>
      <c r="I174" s="14">
        <f>H174/H9</f>
        <v>0</v>
      </c>
    </row>
    <row r="175" spans="2:9">
      <c r="B175" s="20"/>
      <c r="D175" s="2"/>
      <c r="E175" s="42"/>
      <c r="I175" s="14"/>
    </row>
    <row r="176" spans="2:9">
      <c r="E176" s="42"/>
      <c r="I176" s="14"/>
    </row>
    <row r="177" spans="2:9">
      <c r="B177" s="21">
        <v>13000</v>
      </c>
      <c r="C177" s="2"/>
      <c r="D177" s="2" t="s">
        <v>69</v>
      </c>
      <c r="E177" s="42"/>
      <c r="I177" s="14"/>
    </row>
    <row r="178" spans="2:9">
      <c r="B178" s="20"/>
      <c r="E178" s="42"/>
      <c r="I178" s="14"/>
    </row>
    <row r="179" spans="2:9">
      <c r="B179" s="20"/>
      <c r="E179" s="42"/>
      <c r="I179" s="14"/>
    </row>
    <row r="180" spans="2:9">
      <c r="B180" s="20"/>
      <c r="E180" s="42"/>
      <c r="I180" s="14"/>
    </row>
    <row r="181" spans="2:9">
      <c r="B181" s="20"/>
      <c r="E181" s="42"/>
      <c r="I181" s="14"/>
    </row>
    <row r="182" spans="2:9">
      <c r="B182" s="20"/>
      <c r="E182" s="42"/>
      <c r="H182" s="51"/>
      <c r="I182" s="14"/>
    </row>
    <row r="183" spans="2:9">
      <c r="B183" s="20"/>
      <c r="E183" s="42"/>
      <c r="I183" s="14"/>
    </row>
    <row r="184" spans="2:9">
      <c r="B184" s="20"/>
      <c r="D184" s="2" t="s">
        <v>86</v>
      </c>
      <c r="E184" s="42"/>
      <c r="H184" s="50">
        <f>SUM(H178:H182)</f>
        <v>0</v>
      </c>
      <c r="I184" s="14">
        <f>H184/H9</f>
        <v>0</v>
      </c>
    </row>
    <row r="185" spans="2:9">
      <c r="B185" s="20"/>
      <c r="D185" s="2"/>
      <c r="E185" s="42"/>
      <c r="I185" s="14"/>
    </row>
    <row r="186" spans="2:9">
      <c r="E186" s="42"/>
      <c r="I186" s="14"/>
    </row>
    <row r="187" spans="2:9">
      <c r="B187" s="21">
        <v>14000</v>
      </c>
      <c r="C187" s="2"/>
      <c r="D187" s="2" t="s">
        <v>70</v>
      </c>
      <c r="E187" s="42"/>
      <c r="I187" s="14"/>
    </row>
    <row r="188" spans="2:9">
      <c r="B188" s="20"/>
      <c r="D188" t="s">
        <v>193</v>
      </c>
      <c r="E188" s="42"/>
      <c r="F188" t="s">
        <v>194</v>
      </c>
      <c r="H188" s="50">
        <f>E188*G188</f>
        <v>0</v>
      </c>
      <c r="I188" s="14"/>
    </row>
    <row r="189" spans="2:9">
      <c r="B189" s="20"/>
      <c r="D189" s="1" t="s">
        <v>195</v>
      </c>
      <c r="E189" s="42"/>
      <c r="F189" t="s">
        <v>119</v>
      </c>
      <c r="H189" s="50">
        <f>E189*G189</f>
        <v>0</v>
      </c>
      <c r="I189" s="14"/>
    </row>
    <row r="190" spans="2:9">
      <c r="B190" s="20"/>
      <c r="E190" s="42"/>
      <c r="I190" s="14"/>
    </row>
    <row r="191" spans="2:9">
      <c r="B191" s="20"/>
      <c r="E191" s="42"/>
      <c r="I191" s="14"/>
    </row>
    <row r="192" spans="2:9">
      <c r="B192" s="20"/>
      <c r="E192" s="42"/>
      <c r="H192" s="51"/>
      <c r="I192" s="14"/>
    </row>
    <row r="193" spans="2:9">
      <c r="B193" s="20"/>
      <c r="E193" s="42"/>
      <c r="I193" s="14"/>
    </row>
    <row r="194" spans="2:9">
      <c r="B194" s="20"/>
      <c r="D194" s="2" t="s">
        <v>87</v>
      </c>
      <c r="E194" s="42"/>
      <c r="H194" s="50">
        <f>SUM(H188:H192)</f>
        <v>0</v>
      </c>
      <c r="I194" s="14">
        <f>H194/H9</f>
        <v>0</v>
      </c>
    </row>
    <row r="195" spans="2:9">
      <c r="B195" s="20"/>
      <c r="D195" s="2"/>
      <c r="E195" s="42"/>
      <c r="I195" s="14"/>
    </row>
    <row r="196" spans="2:9">
      <c r="E196" s="42"/>
      <c r="I196" s="14"/>
    </row>
    <row r="197" spans="2:9">
      <c r="B197" s="21">
        <v>15000</v>
      </c>
      <c r="C197" s="2"/>
      <c r="D197" s="2" t="s">
        <v>71</v>
      </c>
      <c r="E197" s="42"/>
      <c r="I197" s="14"/>
    </row>
    <row r="198" spans="2:9">
      <c r="B198" s="20"/>
      <c r="E198" s="42"/>
      <c r="I198" s="14"/>
    </row>
    <row r="199" spans="2:9">
      <c r="B199" s="20"/>
      <c r="E199" s="42"/>
      <c r="I199" s="14"/>
    </row>
    <row r="200" spans="2:9">
      <c r="B200" s="20"/>
      <c r="E200" s="42"/>
      <c r="I200" s="14"/>
    </row>
    <row r="201" spans="2:9">
      <c r="B201" s="20"/>
      <c r="E201" s="42"/>
      <c r="I201" s="14"/>
    </row>
    <row r="202" spans="2:9">
      <c r="B202" s="20"/>
      <c r="E202" s="42"/>
      <c r="H202" s="51"/>
      <c r="I202" s="14"/>
    </row>
    <row r="203" spans="2:9">
      <c r="B203" s="20"/>
      <c r="E203" s="42"/>
      <c r="I203" s="14"/>
    </row>
    <row r="204" spans="2:9">
      <c r="B204" s="20"/>
      <c r="D204" s="2" t="s">
        <v>88</v>
      </c>
      <c r="E204" s="42"/>
      <c r="H204" s="50">
        <f>SUM(H198:H202)</f>
        <v>0</v>
      </c>
      <c r="I204" s="14">
        <f>H204/H9</f>
        <v>0</v>
      </c>
    </row>
    <row r="205" spans="2:9">
      <c r="B205" s="20"/>
      <c r="D205" s="2"/>
      <c r="E205" s="42"/>
      <c r="I205" s="14"/>
    </row>
    <row r="206" spans="2:9">
      <c r="E206" s="42"/>
      <c r="I206" s="14"/>
    </row>
    <row r="207" spans="2:9">
      <c r="B207" s="21">
        <v>16000</v>
      </c>
      <c r="C207" s="2"/>
      <c r="D207" s="2" t="s">
        <v>72</v>
      </c>
      <c r="E207" s="42"/>
      <c r="I207" s="14"/>
    </row>
    <row r="208" spans="2:9">
      <c r="B208" s="20">
        <v>16000</v>
      </c>
      <c r="D208" t="s">
        <v>358</v>
      </c>
      <c r="E208" s="42"/>
      <c r="F208" t="s">
        <v>119</v>
      </c>
      <c r="G208" s="14">
        <v>5000</v>
      </c>
      <c r="H208" s="50">
        <f t="shared" ref="H208:H213" si="3">E208*G208</f>
        <v>0</v>
      </c>
      <c r="I208" s="14"/>
    </row>
    <row r="209" spans="2:9">
      <c r="B209" s="20">
        <v>16100</v>
      </c>
      <c r="D209" s="1" t="s">
        <v>345</v>
      </c>
      <c r="E209" s="42"/>
      <c r="F209" t="s">
        <v>94</v>
      </c>
      <c r="G209" s="14">
        <v>25000</v>
      </c>
      <c r="H209" s="50">
        <f t="shared" si="3"/>
        <v>0</v>
      </c>
      <c r="I209" s="14"/>
    </row>
    <row r="210" spans="2:9">
      <c r="B210" s="20">
        <v>16200</v>
      </c>
      <c r="D210" s="1" t="s">
        <v>344</v>
      </c>
      <c r="E210" s="42"/>
      <c r="F210" t="s">
        <v>119</v>
      </c>
      <c r="G210" s="14">
        <v>2000</v>
      </c>
      <c r="H210" s="50">
        <f t="shared" si="3"/>
        <v>0</v>
      </c>
      <c r="I210" s="14"/>
    </row>
    <row r="211" spans="2:9">
      <c r="B211" s="20">
        <v>16900</v>
      </c>
      <c r="D211" s="1" t="s">
        <v>145</v>
      </c>
      <c r="E211" s="42"/>
      <c r="F211" t="s">
        <v>94</v>
      </c>
      <c r="H211" s="50">
        <f t="shared" si="3"/>
        <v>0</v>
      </c>
      <c r="I211" s="14"/>
    </row>
    <row r="212" spans="2:9">
      <c r="B212" s="20">
        <v>16900</v>
      </c>
      <c r="D212" s="1" t="s">
        <v>146</v>
      </c>
      <c r="E212" s="42"/>
      <c r="F212" t="s">
        <v>119</v>
      </c>
      <c r="H212" s="50">
        <f t="shared" si="3"/>
        <v>0</v>
      </c>
      <c r="I212" s="14"/>
    </row>
    <row r="213" spans="2:9">
      <c r="B213" s="20">
        <v>16900</v>
      </c>
      <c r="D213" s="1" t="s">
        <v>147</v>
      </c>
      <c r="E213" s="42"/>
      <c r="F213" t="s">
        <v>58</v>
      </c>
      <c r="H213" s="50">
        <f t="shared" si="3"/>
        <v>0</v>
      </c>
      <c r="I213" s="14"/>
    </row>
    <row r="214" spans="2:9">
      <c r="B214" s="20"/>
      <c r="E214" s="42"/>
      <c r="H214" s="51"/>
      <c r="I214" s="14"/>
    </row>
    <row r="215" spans="2:9">
      <c r="E215" s="42"/>
      <c r="I215" s="14"/>
    </row>
    <row r="216" spans="2:9">
      <c r="D216" s="2" t="s">
        <v>89</v>
      </c>
      <c r="E216" s="42"/>
      <c r="H216" s="50">
        <f>SUM(H208:H214)</f>
        <v>0</v>
      </c>
      <c r="I216" s="14">
        <f>H216/H9</f>
        <v>0</v>
      </c>
    </row>
    <row r="217" spans="2:9">
      <c r="E217" s="42"/>
      <c r="I217" s="14"/>
    </row>
    <row r="218" spans="2:9">
      <c r="E218" s="42"/>
      <c r="I218" s="14"/>
    </row>
    <row r="219" spans="2:9">
      <c r="E219" s="42"/>
      <c r="I219" s="14"/>
    </row>
    <row r="220" spans="2:9">
      <c r="D220" s="54" t="s">
        <v>152</v>
      </c>
      <c r="E220" s="42"/>
      <c r="H220" s="55">
        <f>SUM(H27+H67+H84+H94+H104+H114+H124+H134+H144+H154+H164+H174+H184+H194+H204+H216)</f>
        <v>0</v>
      </c>
      <c r="I220" s="56">
        <f>H220/H9</f>
        <v>0</v>
      </c>
    </row>
  </sheetData>
  <phoneticPr fontId="0" type="noConversion"/>
  <pageMargins left="0.5" right="0.5" top="1" bottom="1" header="0.5" footer="0.5"/>
  <pageSetup orientation="portrait"/>
  <headerFooter alignWithMargins="0">
    <oddHeader>&amp;L&amp;"Arial,Bold"Conceptual Estimate
SITE DETAIL&amp;C&amp;"Californian FB,Bold"&amp;14&amp;UJL Pieretti Construction Co.&amp;R&amp;D</oddHeader>
    <oddFooter>&amp;C&amp;P of &amp;N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50"/>
  <sheetViews>
    <sheetView zoomScale="150" zoomScaleNormal="150" workbookViewId="0">
      <selection activeCell="D1" sqref="D1"/>
    </sheetView>
  </sheetViews>
  <sheetFormatPr baseColWidth="10" defaultColWidth="8.83203125" defaultRowHeight="13"/>
  <cols>
    <col min="1" max="1" width="1.6640625" customWidth="1"/>
    <col min="2" max="2" width="7.6640625" style="9" customWidth="1"/>
    <col min="3" max="3" width="2.1640625" customWidth="1"/>
    <col min="4" max="4" width="32" customWidth="1"/>
    <col min="5" max="5" width="8.1640625" bestFit="1" customWidth="1"/>
    <col min="7" max="7" width="10.1640625" customWidth="1"/>
    <col min="8" max="8" width="8.83203125" style="14" customWidth="1"/>
  </cols>
  <sheetData>
    <row r="1" spans="1:9">
      <c r="A1" s="1" t="s">
        <v>0</v>
      </c>
      <c r="B1" s="5"/>
      <c r="C1" s="1"/>
      <c r="D1" s="2" t="str">
        <f>'Systems Summary'!D7</f>
        <v>356 S Daniel Way, San Jose, CA 95128</v>
      </c>
      <c r="E1" s="1" t="s">
        <v>3</v>
      </c>
      <c r="F1" s="1"/>
      <c r="G1" s="1"/>
      <c r="H1" s="18" t="str">
        <f>'Systems Summary'!I7</f>
        <v>TI</v>
      </c>
      <c r="I1" s="1"/>
    </row>
    <row r="2" spans="1:9">
      <c r="A2" s="1" t="s">
        <v>2</v>
      </c>
      <c r="B2" s="5"/>
      <c r="C2" s="1"/>
      <c r="D2" s="1" t="str">
        <f>'Systems Summary'!D8</f>
        <v>Close to Santana Row</v>
      </c>
      <c r="E2" s="1" t="s">
        <v>4</v>
      </c>
      <c r="F2" s="1"/>
      <c r="G2" s="1"/>
      <c r="H2" s="18" t="str">
        <f>'Systems Summary'!I8</f>
        <v>Tilt Up</v>
      </c>
      <c r="I2" s="1"/>
    </row>
    <row r="3" spans="1:9">
      <c r="A3" s="1"/>
      <c r="B3" s="5"/>
      <c r="C3" s="1"/>
      <c r="D3" s="1" t="s">
        <v>5</v>
      </c>
      <c r="E3" s="1" t="s">
        <v>6</v>
      </c>
      <c r="F3" s="1"/>
      <c r="G3" s="1"/>
      <c r="H3" s="36" t="str">
        <f>'Systems Summary'!I9</f>
        <v>NA</v>
      </c>
      <c r="I3" s="1"/>
    </row>
    <row r="4" spans="1:9">
      <c r="A4" s="1"/>
      <c r="B4" s="5"/>
      <c r="C4" s="1"/>
      <c r="D4" s="1"/>
      <c r="E4" s="1" t="s">
        <v>7</v>
      </c>
      <c r="F4" s="1"/>
      <c r="G4" s="1"/>
      <c r="H4" s="36">
        <f>'Systems Summary'!I10</f>
        <v>1</v>
      </c>
      <c r="I4" s="1"/>
    </row>
    <row r="5" spans="1:9">
      <c r="A5" s="1" t="s">
        <v>1</v>
      </c>
      <c r="B5" s="5"/>
      <c r="C5" s="1"/>
      <c r="D5" s="2" t="str">
        <f>'Systems Summary'!D12</f>
        <v>N/A</v>
      </c>
      <c r="E5" s="1" t="s">
        <v>8</v>
      </c>
      <c r="F5" s="1"/>
      <c r="G5" s="1"/>
      <c r="H5" s="36">
        <f>'Systems Summary'!I11</f>
        <v>2</v>
      </c>
      <c r="I5" s="1"/>
    </row>
    <row r="6" spans="1:9">
      <c r="A6" s="1"/>
      <c r="B6" s="5"/>
      <c r="C6" s="1"/>
      <c r="D6" s="1"/>
      <c r="E6" s="1" t="s">
        <v>57</v>
      </c>
      <c r="F6" s="1"/>
      <c r="G6" s="1"/>
      <c r="H6" s="36">
        <f>'Systems Summary'!I12</f>
        <v>2</v>
      </c>
      <c r="I6" s="1"/>
    </row>
    <row r="7" spans="1:9">
      <c r="A7" s="1"/>
      <c r="B7" s="5"/>
      <c r="C7" s="1"/>
      <c r="D7" s="1"/>
      <c r="E7" s="1" t="s">
        <v>308</v>
      </c>
      <c r="F7" s="1"/>
      <c r="G7" s="1"/>
      <c r="H7" s="36">
        <f>'Systems Summary'!I15</f>
        <v>0</v>
      </c>
      <c r="I7" s="1" t="s">
        <v>58</v>
      </c>
    </row>
    <row r="8" spans="1:9">
      <c r="A8" s="1"/>
      <c r="B8" s="5"/>
      <c r="C8" s="1"/>
      <c r="D8" s="1"/>
      <c r="E8" s="1" t="s">
        <v>309</v>
      </c>
      <c r="F8" s="1"/>
      <c r="G8" s="1"/>
      <c r="H8" s="36">
        <f>'Systems Summary'!I16</f>
        <v>8720</v>
      </c>
      <c r="I8" s="1" t="s">
        <v>58</v>
      </c>
    </row>
    <row r="9" spans="1:9">
      <c r="A9" s="1"/>
      <c r="B9" s="5"/>
      <c r="C9" s="1"/>
      <c r="D9" s="1"/>
      <c r="E9" s="1" t="str">
        <f>'Systems Summary'!F17</f>
        <v>Lease Space/TI Area:</v>
      </c>
      <c r="F9" s="1"/>
      <c r="G9" s="1"/>
      <c r="H9" s="37">
        <f>'Systems Summary'!I17</f>
        <v>8720</v>
      </c>
      <c r="I9" s="1" t="s">
        <v>58</v>
      </c>
    </row>
    <row r="10" spans="1:9">
      <c r="E10" s="1" t="s">
        <v>9</v>
      </c>
      <c r="H10" s="38" t="str">
        <f>'Systems Summary'!I18</f>
        <v>NA</v>
      </c>
      <c r="I10" t="s">
        <v>58</v>
      </c>
    </row>
    <row r="11" spans="1:9">
      <c r="E11" s="1" t="s">
        <v>189</v>
      </c>
      <c r="H11" s="38" t="str">
        <f>'Systems Summary'!I19</f>
        <v>NA</v>
      </c>
      <c r="I11" t="s">
        <v>58</v>
      </c>
    </row>
    <row r="12" spans="1:9">
      <c r="E12" s="1" t="s">
        <v>307</v>
      </c>
      <c r="H12" s="38" t="str">
        <f>'Systems Summary'!I20</f>
        <v>NA</v>
      </c>
      <c r="I12" t="s">
        <v>58</v>
      </c>
    </row>
    <row r="13" spans="1:9" ht="14" thickBot="1">
      <c r="B13" s="8"/>
      <c r="C13" s="3"/>
      <c r="D13" s="3"/>
      <c r="E13" s="3"/>
      <c r="F13" s="3"/>
      <c r="G13" s="3"/>
      <c r="H13" s="11"/>
      <c r="I13" s="3"/>
    </row>
    <row r="14" spans="1:9">
      <c r="B14" s="6" t="s">
        <v>10</v>
      </c>
      <c r="C14" s="1"/>
      <c r="D14" s="1"/>
      <c r="E14" s="1"/>
      <c r="F14" s="1"/>
      <c r="G14" s="6" t="s">
        <v>14</v>
      </c>
      <c r="H14" s="12" t="s">
        <v>39</v>
      </c>
      <c r="I14" s="6" t="s">
        <v>15</v>
      </c>
    </row>
    <row r="15" spans="1:9" ht="14" thickBot="1">
      <c r="B15" s="7" t="s">
        <v>11</v>
      </c>
      <c r="C15" s="4"/>
      <c r="D15" s="7" t="s">
        <v>12</v>
      </c>
      <c r="E15" s="7" t="s">
        <v>38</v>
      </c>
      <c r="F15" s="7" t="s">
        <v>14</v>
      </c>
      <c r="G15" s="7" t="s">
        <v>15</v>
      </c>
      <c r="H15" s="13" t="s">
        <v>15</v>
      </c>
      <c r="I15" s="7" t="s">
        <v>40</v>
      </c>
    </row>
    <row r="16" spans="1:9" ht="14" thickTop="1"/>
    <row r="17" spans="2:9">
      <c r="B17" s="10" t="s">
        <v>16</v>
      </c>
      <c r="D17" t="s">
        <v>90</v>
      </c>
      <c r="E17" s="42"/>
      <c r="G17" s="14"/>
      <c r="H17" s="50">
        <f>'Garage Detail'!H27</f>
        <v>0</v>
      </c>
      <c r="I17" s="14"/>
    </row>
    <row r="18" spans="2:9">
      <c r="B18" s="10" t="s">
        <v>17</v>
      </c>
      <c r="D18" t="s">
        <v>53</v>
      </c>
      <c r="E18" s="42"/>
      <c r="G18" s="14"/>
      <c r="H18" s="50">
        <f>'Garage Detail'!H65</f>
        <v>0</v>
      </c>
      <c r="I18" s="14"/>
    </row>
    <row r="19" spans="2:9">
      <c r="B19" s="10" t="s">
        <v>18</v>
      </c>
      <c r="D19" t="s">
        <v>25</v>
      </c>
      <c r="E19" s="42"/>
      <c r="G19" s="14"/>
      <c r="H19" s="50">
        <f>'Garage Detail'!H79</f>
        <v>0</v>
      </c>
      <c r="I19" s="14"/>
    </row>
    <row r="20" spans="2:9">
      <c r="B20" s="10" t="s">
        <v>19</v>
      </c>
      <c r="D20" t="s">
        <v>26</v>
      </c>
      <c r="E20" s="42"/>
      <c r="G20" s="14"/>
      <c r="H20" s="50">
        <f>'Garage Detail'!H89</f>
        <v>0</v>
      </c>
      <c r="I20" s="14"/>
    </row>
    <row r="21" spans="2:9">
      <c r="B21" s="10" t="s">
        <v>20</v>
      </c>
      <c r="D21" t="s">
        <v>27</v>
      </c>
      <c r="E21" s="42"/>
      <c r="G21" s="14"/>
      <c r="H21" s="50">
        <f>'Garage Detail'!H101</f>
        <v>0</v>
      </c>
      <c r="I21" s="14"/>
    </row>
    <row r="22" spans="2:9">
      <c r="B22" s="10" t="s">
        <v>21</v>
      </c>
      <c r="D22" t="s">
        <v>28</v>
      </c>
      <c r="E22" s="42"/>
      <c r="G22" s="14"/>
      <c r="H22" s="50">
        <f>'Garage Detail'!H114</f>
        <v>0</v>
      </c>
      <c r="I22" s="14"/>
    </row>
    <row r="23" spans="2:9">
      <c r="B23" s="10" t="s">
        <v>22</v>
      </c>
      <c r="D23" t="s">
        <v>29</v>
      </c>
      <c r="E23" s="42"/>
      <c r="G23" s="14"/>
      <c r="H23" s="50">
        <f>'Garage Detail'!H131</f>
        <v>0</v>
      </c>
      <c r="I23" s="14"/>
    </row>
    <row r="24" spans="2:9">
      <c r="B24" s="10" t="s">
        <v>23</v>
      </c>
      <c r="D24" t="s">
        <v>79</v>
      </c>
      <c r="E24" s="42"/>
      <c r="G24" s="14"/>
      <c r="H24" s="50">
        <f>'Garage Detail'!H141</f>
        <v>0</v>
      </c>
      <c r="I24" s="14"/>
    </row>
    <row r="25" spans="2:9">
      <c r="B25" s="10" t="s">
        <v>24</v>
      </c>
      <c r="D25" t="s">
        <v>30</v>
      </c>
      <c r="E25" s="42"/>
      <c r="G25" s="14"/>
      <c r="H25" s="50">
        <f>'Garage Detail'!H178</f>
        <v>0</v>
      </c>
      <c r="I25" s="14"/>
    </row>
    <row r="26" spans="2:9">
      <c r="B26" s="9">
        <v>10000</v>
      </c>
      <c r="D26" t="s">
        <v>31</v>
      </c>
      <c r="E26" s="42"/>
      <c r="G26" s="14"/>
      <c r="H26" s="50">
        <f>'Garage Detail'!H188</f>
        <v>0</v>
      </c>
      <c r="I26" s="14"/>
    </row>
    <row r="27" spans="2:9">
      <c r="B27" s="9">
        <v>11000</v>
      </c>
      <c r="D27" t="s">
        <v>32</v>
      </c>
      <c r="E27" s="42"/>
      <c r="G27" s="14"/>
      <c r="H27" s="50">
        <f>'Garage Detail'!H198</f>
        <v>0</v>
      </c>
      <c r="I27" s="14"/>
    </row>
    <row r="28" spans="2:9">
      <c r="B28" s="9">
        <v>12000</v>
      </c>
      <c r="D28" t="s">
        <v>33</v>
      </c>
      <c r="E28" s="42"/>
      <c r="G28" s="14"/>
      <c r="H28" s="50">
        <f>'Garage Detail'!H207</f>
        <v>0</v>
      </c>
      <c r="I28" s="14"/>
    </row>
    <row r="29" spans="2:9">
      <c r="B29" s="9">
        <v>13000</v>
      </c>
      <c r="D29" t="s">
        <v>34</v>
      </c>
      <c r="E29" s="42"/>
      <c r="G29" s="14"/>
      <c r="H29" s="50">
        <f>'Garage Detail'!H216</f>
        <v>0</v>
      </c>
      <c r="I29" s="14"/>
    </row>
    <row r="30" spans="2:9">
      <c r="B30" s="9">
        <v>14000</v>
      </c>
      <c r="D30" t="s">
        <v>35</v>
      </c>
      <c r="E30" s="42"/>
      <c r="G30" s="14"/>
      <c r="H30" s="50">
        <f>'Garage Detail'!H227</f>
        <v>0</v>
      </c>
      <c r="I30" s="14"/>
    </row>
    <row r="31" spans="2:9">
      <c r="B31" s="9">
        <v>15000</v>
      </c>
      <c r="D31" t="s">
        <v>36</v>
      </c>
      <c r="E31" s="42"/>
      <c r="G31" s="14"/>
      <c r="H31" s="50">
        <f>'Garage Detail'!H241</f>
        <v>0</v>
      </c>
      <c r="I31" s="14"/>
    </row>
    <row r="32" spans="2:9">
      <c r="B32" s="9">
        <v>16000</v>
      </c>
      <c r="D32" t="s">
        <v>37</v>
      </c>
      <c r="E32" s="42"/>
      <c r="G32" s="14"/>
      <c r="H32" s="50">
        <f>'Garage Detail'!H256</f>
        <v>0</v>
      </c>
      <c r="I32" s="14"/>
    </row>
    <row r="33" spans="4:9" ht="14" thickBot="1">
      <c r="G33" s="14"/>
      <c r="H33" s="53"/>
      <c r="I33" s="14"/>
    </row>
    <row r="34" spans="4:9">
      <c r="G34" s="14"/>
      <c r="H34" s="50"/>
      <c r="I34" s="14"/>
    </row>
    <row r="35" spans="4:9">
      <c r="D35" s="2" t="s">
        <v>41</v>
      </c>
      <c r="G35" s="14"/>
      <c r="H35" s="50">
        <f>SUM(H16:H33)</f>
        <v>0</v>
      </c>
      <c r="I35" s="14"/>
    </row>
    <row r="36" spans="4:9">
      <c r="G36" s="14"/>
      <c r="H36" s="50"/>
      <c r="I36" s="14"/>
    </row>
    <row r="37" spans="4:9">
      <c r="D37" t="s">
        <v>42</v>
      </c>
      <c r="E37" s="16" t="s">
        <v>5</v>
      </c>
      <c r="G37" s="14"/>
      <c r="H37" s="50"/>
      <c r="I37" s="14"/>
    </row>
    <row r="38" spans="4:9">
      <c r="D38" t="s">
        <v>43</v>
      </c>
      <c r="E38" s="16" t="s">
        <v>5</v>
      </c>
      <c r="G38" s="14"/>
      <c r="H38" s="50"/>
      <c r="I38" s="14"/>
    </row>
    <row r="39" spans="4:9">
      <c r="D39" t="s">
        <v>44</v>
      </c>
      <c r="E39" s="16"/>
      <c r="G39" s="14"/>
      <c r="H39" s="50"/>
      <c r="I39" s="14"/>
    </row>
    <row r="40" spans="4:9">
      <c r="D40" t="s">
        <v>45</v>
      </c>
      <c r="E40" s="16"/>
      <c r="G40" s="14"/>
      <c r="H40" s="50"/>
      <c r="I40" s="14"/>
    </row>
    <row r="41" spans="4:9">
      <c r="D41" t="s">
        <v>46</v>
      </c>
      <c r="E41" s="16"/>
      <c r="G41" s="14"/>
      <c r="H41" s="50"/>
      <c r="I41" s="14"/>
    </row>
    <row r="42" spans="4:9">
      <c r="D42" t="s">
        <v>47</v>
      </c>
      <c r="E42" s="16"/>
      <c r="G42" s="14"/>
      <c r="H42" s="50"/>
      <c r="I42" s="14"/>
    </row>
    <row r="43" spans="4:9" ht="14" thickBot="1">
      <c r="G43" s="14"/>
      <c r="H43" s="53"/>
      <c r="I43" s="14"/>
    </row>
    <row r="44" spans="4:9">
      <c r="G44" s="14"/>
      <c r="H44" s="50"/>
      <c r="I44" s="14"/>
    </row>
    <row r="45" spans="4:9">
      <c r="D45" s="2" t="s">
        <v>41</v>
      </c>
      <c r="G45" s="14"/>
      <c r="H45" s="50">
        <f>SUM(H34:H43)</f>
        <v>0</v>
      </c>
      <c r="I45" s="14"/>
    </row>
    <row r="46" spans="4:9">
      <c r="G46" s="14"/>
      <c r="H46" s="50"/>
      <c r="I46" s="14"/>
    </row>
    <row r="47" spans="4:9">
      <c r="D47" t="s">
        <v>48</v>
      </c>
      <c r="E47" s="16"/>
      <c r="G47" s="14"/>
      <c r="H47" s="50"/>
      <c r="I47" s="14"/>
    </row>
    <row r="48" spans="4:9" ht="14" thickBot="1">
      <c r="G48" s="14"/>
      <c r="H48" s="53"/>
      <c r="I48" s="14"/>
    </row>
    <row r="49" spans="4:9">
      <c r="G49" s="14"/>
      <c r="H49" s="50"/>
      <c r="I49" s="14"/>
    </row>
    <row r="50" spans="4:9">
      <c r="D50" s="54" t="s">
        <v>51</v>
      </c>
      <c r="G50" s="14"/>
      <c r="H50" s="50">
        <f>SUM(H44:H48)</f>
        <v>0</v>
      </c>
      <c r="I50" s="14"/>
    </row>
  </sheetData>
  <phoneticPr fontId="0" type="noConversion"/>
  <pageMargins left="0.75" right="0.75" top="1" bottom="1" header="0.5" footer="0.5"/>
  <pageSetup orientation="portrait"/>
  <headerFooter alignWithMargins="0">
    <oddHeader>&amp;L&amp;"Arial,Bold"Conceptual Estimate
GARAGE SUMMARY&amp;C&amp;"Californian FB,Bold"&amp;14&amp;UJL Pieretti Construction Co.&amp;R&amp;D</oddHeader>
    <oddFooter>&amp;C&amp;P of &amp;N</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I260"/>
  <sheetViews>
    <sheetView topLeftCell="A237" zoomScale="125" zoomScaleNormal="125" workbookViewId="0">
      <selection activeCell="D249" sqref="D249"/>
    </sheetView>
  </sheetViews>
  <sheetFormatPr baseColWidth="10" defaultColWidth="8.83203125" defaultRowHeight="13"/>
  <cols>
    <col min="1" max="1" width="1.6640625" customWidth="1"/>
    <col min="2" max="2" width="7.6640625" customWidth="1"/>
    <col min="3" max="3" width="1.6640625" customWidth="1"/>
    <col min="4" max="4" width="32" customWidth="1"/>
    <col min="7" max="7" width="11.5" bestFit="1" customWidth="1"/>
    <col min="8" max="8" width="10.6640625" bestFit="1" customWidth="1"/>
    <col min="9" max="9" width="10.5" bestFit="1" customWidth="1"/>
  </cols>
  <sheetData>
    <row r="1" spans="1:9">
      <c r="A1" s="1" t="s">
        <v>0</v>
      </c>
      <c r="B1" s="5"/>
      <c r="C1" s="1"/>
      <c r="D1" s="2" t="str">
        <f>'Systems Summary'!D7</f>
        <v>356 S Daniel Way, San Jose, CA 95128</v>
      </c>
      <c r="E1" s="1" t="s">
        <v>3</v>
      </c>
      <c r="F1" s="1"/>
      <c r="G1" s="1"/>
      <c r="H1" s="18" t="str">
        <f>'Systems Summary'!I7</f>
        <v>TI</v>
      </c>
      <c r="I1" s="1"/>
    </row>
    <row r="2" spans="1:9">
      <c r="A2" s="1" t="s">
        <v>2</v>
      </c>
      <c r="B2" s="5"/>
      <c r="C2" s="1"/>
      <c r="D2" s="1" t="str">
        <f>'Systems Summary'!D8</f>
        <v>Close to Santana Row</v>
      </c>
      <c r="E2" s="1" t="s">
        <v>4</v>
      </c>
      <c r="F2" s="1"/>
      <c r="G2" s="1"/>
      <c r="H2" s="18" t="str">
        <f>'Systems Summary'!I8</f>
        <v>Tilt Up</v>
      </c>
      <c r="I2" s="1"/>
    </row>
    <row r="3" spans="1:9">
      <c r="A3" s="1"/>
      <c r="B3" s="5"/>
      <c r="C3" s="1"/>
      <c r="D3" s="1" t="s">
        <v>5</v>
      </c>
      <c r="E3" s="1" t="s">
        <v>6</v>
      </c>
      <c r="F3" s="1"/>
      <c r="G3" s="1"/>
      <c r="H3" s="36" t="str">
        <f>'Systems Summary'!I9</f>
        <v>NA</v>
      </c>
      <c r="I3" s="1"/>
    </row>
    <row r="4" spans="1:9">
      <c r="A4" s="1"/>
      <c r="B4" s="5"/>
      <c r="C4" s="1"/>
      <c r="D4" s="1"/>
      <c r="E4" s="1" t="s">
        <v>7</v>
      </c>
      <c r="F4" s="1"/>
      <c r="G4" s="1"/>
      <c r="H4" s="36">
        <f>'Systems Summary'!I10</f>
        <v>1</v>
      </c>
      <c r="I4" s="1"/>
    </row>
    <row r="5" spans="1:9">
      <c r="A5" s="1" t="s">
        <v>1</v>
      </c>
      <c r="B5" s="5"/>
      <c r="C5" s="1"/>
      <c r="D5" s="2" t="str">
        <f>'Systems Summary'!D12</f>
        <v>N/A</v>
      </c>
      <c r="E5" s="1" t="s">
        <v>8</v>
      </c>
      <c r="F5" s="1"/>
      <c r="G5" s="1"/>
      <c r="H5" s="36">
        <f>'Systems Summary'!I11</f>
        <v>2</v>
      </c>
      <c r="I5" s="1"/>
    </row>
    <row r="6" spans="1:9">
      <c r="A6" s="1"/>
      <c r="B6" s="5"/>
      <c r="C6" s="1"/>
      <c r="D6" s="1"/>
      <c r="E6" s="1" t="s">
        <v>57</v>
      </c>
      <c r="F6" s="1"/>
      <c r="G6" s="1"/>
      <c r="H6" s="36">
        <f>'Systems Summary'!I12</f>
        <v>2</v>
      </c>
      <c r="I6" s="1"/>
    </row>
    <row r="7" spans="1:9">
      <c r="A7" s="1"/>
      <c r="B7" s="5"/>
      <c r="C7" s="1"/>
      <c r="D7" s="1"/>
      <c r="E7" s="1" t="s">
        <v>308</v>
      </c>
      <c r="F7" s="1"/>
      <c r="G7" s="1"/>
      <c r="H7" s="36">
        <f>'Systems Summary'!I15</f>
        <v>0</v>
      </c>
      <c r="I7" s="1" t="s">
        <v>58</v>
      </c>
    </row>
    <row r="8" spans="1:9">
      <c r="A8" s="1"/>
      <c r="B8" s="5"/>
      <c r="C8" s="1"/>
      <c r="D8" s="1"/>
      <c r="E8" s="1" t="s">
        <v>309</v>
      </c>
      <c r="F8" s="1"/>
      <c r="G8" s="1"/>
      <c r="H8" s="36">
        <f>'Systems Summary'!I16</f>
        <v>8720</v>
      </c>
      <c r="I8" s="1" t="s">
        <v>58</v>
      </c>
    </row>
    <row r="9" spans="1:9">
      <c r="A9" s="1"/>
      <c r="B9" s="5"/>
      <c r="C9" s="1"/>
      <c r="D9" s="1"/>
      <c r="E9" s="1" t="str">
        <f>'Systems Summary'!F17</f>
        <v>Lease Space/TI Area:</v>
      </c>
      <c r="F9" s="1"/>
      <c r="G9" s="1"/>
      <c r="H9" s="37">
        <f>'Systems Summary'!I17</f>
        <v>8720</v>
      </c>
      <c r="I9" s="1" t="s">
        <v>58</v>
      </c>
    </row>
    <row r="10" spans="1:9">
      <c r="E10" s="1" t="s">
        <v>9</v>
      </c>
      <c r="H10" s="38" t="str">
        <f>'Systems Summary'!I18</f>
        <v>NA</v>
      </c>
      <c r="I10" t="s">
        <v>58</v>
      </c>
    </row>
    <row r="11" spans="1:9">
      <c r="E11" s="1" t="s">
        <v>189</v>
      </c>
      <c r="H11" s="38" t="str">
        <f>'Systems Summary'!I19</f>
        <v>NA</v>
      </c>
      <c r="I11" t="s">
        <v>58</v>
      </c>
    </row>
    <row r="12" spans="1:9">
      <c r="E12" s="1" t="s">
        <v>307</v>
      </c>
      <c r="H12" s="38" t="str">
        <f>'Systems Summary'!I20</f>
        <v>NA</v>
      </c>
      <c r="I12" t="s">
        <v>58</v>
      </c>
    </row>
    <row r="13" spans="1:9" ht="14" thickBot="1">
      <c r="B13" s="8"/>
      <c r="C13" s="3"/>
      <c r="D13" s="3"/>
      <c r="E13" s="3"/>
      <c r="F13" s="3"/>
      <c r="G13" s="3"/>
      <c r="H13" s="11"/>
      <c r="I13" s="3"/>
    </row>
    <row r="14" spans="1:9">
      <c r="B14" s="6" t="s">
        <v>10</v>
      </c>
      <c r="C14" s="1"/>
      <c r="D14" s="1"/>
      <c r="E14" s="1"/>
      <c r="F14" s="1"/>
      <c r="G14" s="6" t="s">
        <v>14</v>
      </c>
      <c r="H14" s="12" t="s">
        <v>39</v>
      </c>
      <c r="I14" s="6" t="s">
        <v>15</v>
      </c>
    </row>
    <row r="15" spans="1:9" ht="14" thickBot="1">
      <c r="B15" s="7" t="s">
        <v>11</v>
      </c>
      <c r="C15" s="4"/>
      <c r="D15" s="7" t="s">
        <v>12</v>
      </c>
      <c r="E15" s="7" t="s">
        <v>38</v>
      </c>
      <c r="F15" s="7" t="s">
        <v>14</v>
      </c>
      <c r="G15" s="7" t="s">
        <v>15</v>
      </c>
      <c r="H15" s="13" t="s">
        <v>15</v>
      </c>
      <c r="I15" s="7" t="s">
        <v>40</v>
      </c>
    </row>
    <row r="16" spans="1:9" ht="14" thickTop="1">
      <c r="I16" s="14"/>
    </row>
    <row r="17" spans="2:9">
      <c r="B17" s="19" t="s">
        <v>16</v>
      </c>
      <c r="D17" s="2" t="s">
        <v>223</v>
      </c>
      <c r="E17" s="42"/>
      <c r="G17" s="14"/>
      <c r="H17" s="50"/>
      <c r="I17" s="14"/>
    </row>
    <row r="18" spans="2:9">
      <c r="B18" s="22" t="s">
        <v>224</v>
      </c>
      <c r="D18" t="s">
        <v>225</v>
      </c>
      <c r="E18" s="42"/>
      <c r="F18" t="s">
        <v>58</v>
      </c>
      <c r="G18" s="14"/>
      <c r="H18" s="50">
        <f t="shared" ref="H18:H23" si="0">E18*G18</f>
        <v>0</v>
      </c>
      <c r="I18" s="14"/>
    </row>
    <row r="19" spans="2:9">
      <c r="B19" s="22" t="s">
        <v>226</v>
      </c>
      <c r="D19" t="s">
        <v>227</v>
      </c>
      <c r="E19" s="42"/>
      <c r="F19" t="s">
        <v>58</v>
      </c>
      <c r="G19" s="14"/>
      <c r="H19" s="50">
        <f t="shared" si="0"/>
        <v>0</v>
      </c>
      <c r="I19" s="14"/>
    </row>
    <row r="20" spans="2:9">
      <c r="B20" s="22" t="s">
        <v>229</v>
      </c>
      <c r="D20" t="s">
        <v>228</v>
      </c>
      <c r="E20" s="42"/>
      <c r="F20" t="s">
        <v>119</v>
      </c>
      <c r="G20" s="14">
        <v>65</v>
      </c>
      <c r="H20" s="50">
        <f t="shared" si="0"/>
        <v>0</v>
      </c>
      <c r="I20" s="14"/>
    </row>
    <row r="21" spans="2:9">
      <c r="B21" s="22" t="s">
        <v>230</v>
      </c>
      <c r="D21" t="s">
        <v>231</v>
      </c>
      <c r="E21" s="42"/>
      <c r="F21" t="s">
        <v>94</v>
      </c>
      <c r="G21" s="14">
        <v>4000</v>
      </c>
      <c r="H21" s="50">
        <f t="shared" si="0"/>
        <v>0</v>
      </c>
      <c r="I21" s="14"/>
    </row>
    <row r="22" spans="2:9">
      <c r="B22" s="22" t="s">
        <v>232</v>
      </c>
      <c r="D22" t="s">
        <v>233</v>
      </c>
      <c r="E22" s="42"/>
      <c r="F22" t="s">
        <v>94</v>
      </c>
      <c r="G22" s="14">
        <v>1200</v>
      </c>
      <c r="H22" s="50">
        <f t="shared" si="0"/>
        <v>0</v>
      </c>
      <c r="I22" s="14"/>
    </row>
    <row r="23" spans="2:9">
      <c r="B23" s="22" t="s">
        <v>234</v>
      </c>
      <c r="D23" t="s">
        <v>235</v>
      </c>
      <c r="E23" s="42"/>
      <c r="F23" t="s">
        <v>120</v>
      </c>
      <c r="G23" s="14"/>
      <c r="H23" s="50">
        <f t="shared" si="0"/>
        <v>0</v>
      </c>
      <c r="I23" s="14"/>
    </row>
    <row r="24" spans="2:9">
      <c r="B24" s="22"/>
      <c r="E24" s="42"/>
      <c r="G24" s="14"/>
      <c r="H24" s="50"/>
      <c r="I24" s="14"/>
    </row>
    <row r="25" spans="2:9">
      <c r="E25" s="42"/>
      <c r="G25" s="14"/>
      <c r="H25" s="51"/>
      <c r="I25" s="14"/>
    </row>
    <row r="26" spans="2:9">
      <c r="E26" s="42"/>
      <c r="G26" s="14"/>
      <c r="H26" s="52"/>
      <c r="I26" s="14"/>
    </row>
    <row r="27" spans="2:9">
      <c r="D27" s="2" t="s">
        <v>236</v>
      </c>
      <c r="E27" s="42"/>
      <c r="G27" s="14"/>
      <c r="H27" s="52">
        <f>SUM(H17:H25)</f>
        <v>0</v>
      </c>
      <c r="I27" s="14">
        <f>H27/H9</f>
        <v>0</v>
      </c>
    </row>
    <row r="28" spans="2:9">
      <c r="E28" s="42"/>
      <c r="G28" s="14"/>
      <c r="H28" s="50"/>
      <c r="I28" s="14"/>
    </row>
    <row r="29" spans="2:9">
      <c r="E29" s="42"/>
      <c r="G29" s="14"/>
      <c r="H29" s="50"/>
      <c r="I29" s="14"/>
    </row>
    <row r="30" spans="2:9">
      <c r="B30" s="19" t="s">
        <v>17</v>
      </c>
      <c r="C30" s="2"/>
      <c r="D30" s="2" t="s">
        <v>60</v>
      </c>
      <c r="E30" s="42"/>
      <c r="G30" s="14"/>
      <c r="H30" s="50"/>
      <c r="I30" s="14"/>
    </row>
    <row r="31" spans="2:9">
      <c r="B31" s="22" t="s">
        <v>95</v>
      </c>
      <c r="D31" t="s">
        <v>93</v>
      </c>
      <c r="E31" s="42"/>
      <c r="F31" t="s">
        <v>94</v>
      </c>
      <c r="G31" s="14">
        <v>5000</v>
      </c>
      <c r="H31" s="50">
        <f>E31*G31</f>
        <v>0</v>
      </c>
      <c r="I31" s="14"/>
    </row>
    <row r="32" spans="2:9">
      <c r="B32" s="22" t="s">
        <v>91</v>
      </c>
      <c r="D32" t="s">
        <v>92</v>
      </c>
      <c r="E32" s="42"/>
      <c r="F32" t="s">
        <v>58</v>
      </c>
      <c r="G32" s="14"/>
      <c r="H32" s="50">
        <f t="shared" ref="H32:H61" si="1">E32*G32</f>
        <v>0</v>
      </c>
      <c r="I32" s="14"/>
    </row>
    <row r="33" spans="2:9">
      <c r="B33" s="22" t="s">
        <v>117</v>
      </c>
      <c r="D33" t="s">
        <v>118</v>
      </c>
      <c r="E33" s="42"/>
      <c r="F33" t="s">
        <v>119</v>
      </c>
      <c r="G33" s="14"/>
      <c r="H33" s="50">
        <f t="shared" si="1"/>
        <v>0</v>
      </c>
      <c r="I33" s="14"/>
    </row>
    <row r="34" spans="2:9">
      <c r="B34" s="22" t="s">
        <v>96</v>
      </c>
      <c r="D34" t="s">
        <v>97</v>
      </c>
      <c r="E34" s="42"/>
      <c r="F34" t="s">
        <v>58</v>
      </c>
      <c r="G34" s="14"/>
      <c r="H34" s="50">
        <f t="shared" si="1"/>
        <v>0</v>
      </c>
      <c r="I34" s="14"/>
    </row>
    <row r="35" spans="2:9">
      <c r="B35" s="22" t="s">
        <v>98</v>
      </c>
      <c r="D35" t="s">
        <v>99</v>
      </c>
      <c r="E35" s="42"/>
      <c r="F35" t="s">
        <v>58</v>
      </c>
      <c r="G35" s="14"/>
      <c r="H35" s="50">
        <f t="shared" si="1"/>
        <v>0</v>
      </c>
      <c r="I35" s="14"/>
    </row>
    <row r="36" spans="2:9">
      <c r="B36" s="22" t="s">
        <v>100</v>
      </c>
      <c r="D36" t="s">
        <v>101</v>
      </c>
      <c r="E36" s="42"/>
      <c r="G36" s="14"/>
      <c r="H36" s="50"/>
      <c r="I36" s="14"/>
    </row>
    <row r="37" spans="2:9">
      <c r="B37" s="22"/>
      <c r="D37" t="s">
        <v>106</v>
      </c>
      <c r="E37" s="42"/>
      <c r="F37" t="s">
        <v>120</v>
      </c>
      <c r="G37" s="14"/>
      <c r="H37" s="50">
        <f t="shared" si="1"/>
        <v>0</v>
      </c>
      <c r="I37" s="14"/>
    </row>
    <row r="38" spans="2:9">
      <c r="B38" s="22"/>
      <c r="D38" t="s">
        <v>105</v>
      </c>
      <c r="E38" s="42"/>
      <c r="F38" t="s">
        <v>120</v>
      </c>
      <c r="G38" s="14"/>
      <c r="H38" s="50">
        <f t="shared" si="1"/>
        <v>0</v>
      </c>
      <c r="I38" s="14"/>
    </row>
    <row r="39" spans="2:9">
      <c r="B39" s="22"/>
      <c r="D39" t="s">
        <v>107</v>
      </c>
      <c r="E39" s="42"/>
      <c r="F39" t="s">
        <v>120</v>
      </c>
      <c r="G39" s="14"/>
      <c r="H39" s="50">
        <f t="shared" si="1"/>
        <v>0</v>
      </c>
      <c r="I39" s="14"/>
    </row>
    <row r="40" spans="2:9">
      <c r="B40" s="22"/>
      <c r="D40" t="s">
        <v>108</v>
      </c>
      <c r="E40" s="42"/>
      <c r="F40" t="s">
        <v>120</v>
      </c>
      <c r="G40" s="14"/>
      <c r="H40" s="50">
        <f t="shared" si="1"/>
        <v>0</v>
      </c>
      <c r="I40" s="14"/>
    </row>
    <row r="41" spans="2:9">
      <c r="B41" s="22"/>
      <c r="D41" t="s">
        <v>109</v>
      </c>
      <c r="E41" s="42"/>
      <c r="F41" t="s">
        <v>120</v>
      </c>
      <c r="G41" s="14"/>
      <c r="H41" s="50">
        <f t="shared" si="1"/>
        <v>0</v>
      </c>
      <c r="I41" s="14"/>
    </row>
    <row r="42" spans="2:9">
      <c r="B42" s="22"/>
      <c r="D42" t="s">
        <v>110</v>
      </c>
      <c r="E42" s="42"/>
      <c r="F42" t="s">
        <v>120</v>
      </c>
      <c r="G42" s="14"/>
      <c r="H42" s="50">
        <f t="shared" si="1"/>
        <v>0</v>
      </c>
      <c r="I42" s="14"/>
    </row>
    <row r="43" spans="2:9">
      <c r="B43" s="22"/>
      <c r="D43" t="s">
        <v>111</v>
      </c>
      <c r="E43" s="42"/>
      <c r="F43" t="s">
        <v>120</v>
      </c>
      <c r="G43" s="14"/>
      <c r="H43" s="50">
        <f t="shared" si="1"/>
        <v>0</v>
      </c>
      <c r="I43" s="14"/>
    </row>
    <row r="44" spans="2:9">
      <c r="B44" s="22"/>
      <c r="D44" t="s">
        <v>112</v>
      </c>
      <c r="E44" s="42"/>
      <c r="F44" t="s">
        <v>120</v>
      </c>
      <c r="G44" s="14"/>
      <c r="H44" s="50">
        <f t="shared" si="1"/>
        <v>0</v>
      </c>
      <c r="I44" s="14"/>
    </row>
    <row r="45" spans="2:9">
      <c r="B45" s="22"/>
      <c r="D45" t="s">
        <v>113</v>
      </c>
      <c r="E45" s="42"/>
      <c r="F45" t="s">
        <v>94</v>
      </c>
      <c r="G45" s="14"/>
      <c r="H45" s="50">
        <f t="shared" si="1"/>
        <v>0</v>
      </c>
      <c r="I45" s="14"/>
    </row>
    <row r="46" spans="2:9">
      <c r="B46" s="22"/>
      <c r="D46" t="s">
        <v>102</v>
      </c>
      <c r="E46" s="42"/>
      <c r="F46" t="s">
        <v>119</v>
      </c>
      <c r="G46" s="14"/>
      <c r="H46" s="50">
        <f t="shared" si="1"/>
        <v>0</v>
      </c>
      <c r="I46" s="14"/>
    </row>
    <row r="47" spans="2:9">
      <c r="B47" s="22"/>
      <c r="D47" t="s">
        <v>103</v>
      </c>
      <c r="E47" s="42"/>
      <c r="F47" t="s">
        <v>119</v>
      </c>
      <c r="G47" s="14"/>
      <c r="H47" s="50">
        <f t="shared" si="1"/>
        <v>0</v>
      </c>
      <c r="I47" s="14"/>
    </row>
    <row r="48" spans="2:9">
      <c r="B48" s="22"/>
      <c r="D48" t="s">
        <v>104</v>
      </c>
      <c r="E48" s="42"/>
      <c r="F48" t="s">
        <v>119</v>
      </c>
      <c r="G48" s="14"/>
      <c r="H48" s="50">
        <f t="shared" si="1"/>
        <v>0</v>
      </c>
      <c r="I48" s="14"/>
    </row>
    <row r="49" spans="2:9">
      <c r="B49" s="22"/>
      <c r="D49" t="s">
        <v>114</v>
      </c>
      <c r="E49" s="42"/>
      <c r="F49" t="s">
        <v>120</v>
      </c>
      <c r="G49" s="14"/>
      <c r="H49" s="50">
        <f t="shared" si="1"/>
        <v>0</v>
      </c>
      <c r="I49" s="14"/>
    </row>
    <row r="50" spans="2:9">
      <c r="B50" s="22"/>
      <c r="E50" s="42"/>
      <c r="G50" s="14"/>
      <c r="H50" s="50"/>
      <c r="I50" s="14"/>
    </row>
    <row r="51" spans="2:9">
      <c r="B51" s="22"/>
      <c r="D51" t="s">
        <v>115</v>
      </c>
      <c r="E51" s="42"/>
      <c r="F51" t="s">
        <v>120</v>
      </c>
      <c r="G51" s="14"/>
      <c r="H51" s="50">
        <f t="shared" si="1"/>
        <v>0</v>
      </c>
      <c r="I51" s="14"/>
    </row>
    <row r="52" spans="2:9">
      <c r="B52" s="22"/>
      <c r="E52" s="42"/>
      <c r="G52" s="14"/>
      <c r="H52" s="50"/>
      <c r="I52" s="14"/>
    </row>
    <row r="53" spans="2:9">
      <c r="B53" s="22"/>
      <c r="D53" t="s">
        <v>116</v>
      </c>
      <c r="E53" s="42"/>
      <c r="F53" t="s">
        <v>120</v>
      </c>
      <c r="G53" s="14"/>
      <c r="H53" s="50">
        <f t="shared" si="1"/>
        <v>0</v>
      </c>
      <c r="I53" s="14"/>
    </row>
    <row r="54" spans="2:9">
      <c r="B54" s="22" t="s">
        <v>121</v>
      </c>
      <c r="D54" t="s">
        <v>122</v>
      </c>
      <c r="E54" s="42"/>
      <c r="G54" s="14"/>
      <c r="H54" s="50"/>
      <c r="I54" s="14"/>
    </row>
    <row r="55" spans="2:9">
      <c r="B55" s="22"/>
      <c r="D55" t="s">
        <v>123</v>
      </c>
      <c r="E55" s="42"/>
      <c r="F55" t="s">
        <v>58</v>
      </c>
      <c r="G55" s="14"/>
      <c r="H55" s="50">
        <f t="shared" si="1"/>
        <v>0</v>
      </c>
      <c r="I55" s="14"/>
    </row>
    <row r="56" spans="2:9">
      <c r="B56" s="22"/>
      <c r="D56" t="s">
        <v>124</v>
      </c>
      <c r="E56" s="42"/>
      <c r="F56" t="s">
        <v>58</v>
      </c>
      <c r="G56" s="14"/>
      <c r="H56" s="50">
        <f t="shared" si="1"/>
        <v>0</v>
      </c>
      <c r="I56" s="14"/>
    </row>
    <row r="57" spans="2:9">
      <c r="B57" s="22"/>
      <c r="D57" t="s">
        <v>125</v>
      </c>
      <c r="E57" s="42"/>
      <c r="F57" t="s">
        <v>58</v>
      </c>
      <c r="G57" s="14"/>
      <c r="H57" s="50">
        <f t="shared" si="1"/>
        <v>0</v>
      </c>
      <c r="I57" s="14"/>
    </row>
    <row r="58" spans="2:9">
      <c r="B58" s="22" t="s">
        <v>137</v>
      </c>
      <c r="D58" t="s">
        <v>138</v>
      </c>
      <c r="E58" s="42"/>
      <c r="F58" t="s">
        <v>94</v>
      </c>
      <c r="G58" s="14"/>
      <c r="H58" s="50">
        <f t="shared" si="1"/>
        <v>0</v>
      </c>
      <c r="I58" s="14"/>
    </row>
    <row r="59" spans="2:9">
      <c r="B59" s="22" t="s">
        <v>139</v>
      </c>
      <c r="D59" t="s">
        <v>140</v>
      </c>
      <c r="E59" s="42"/>
      <c r="F59" t="s">
        <v>58</v>
      </c>
      <c r="G59" s="14"/>
      <c r="H59" s="50">
        <f t="shared" si="1"/>
        <v>0</v>
      </c>
      <c r="I59" s="14"/>
    </row>
    <row r="60" spans="2:9">
      <c r="B60" s="22" t="s">
        <v>141</v>
      </c>
      <c r="D60" t="s">
        <v>142</v>
      </c>
      <c r="E60" s="42"/>
      <c r="F60" t="s">
        <v>58</v>
      </c>
      <c r="G60" s="14"/>
      <c r="H60" s="50">
        <f t="shared" si="1"/>
        <v>0</v>
      </c>
      <c r="I60" s="14"/>
    </row>
    <row r="61" spans="2:9">
      <c r="B61" s="22" t="s">
        <v>141</v>
      </c>
      <c r="D61" t="s">
        <v>143</v>
      </c>
      <c r="E61" s="42"/>
      <c r="F61" t="s">
        <v>119</v>
      </c>
      <c r="G61" s="14"/>
      <c r="H61" s="50">
        <f t="shared" si="1"/>
        <v>0</v>
      </c>
      <c r="I61" s="14"/>
    </row>
    <row r="62" spans="2:9">
      <c r="B62" s="20"/>
      <c r="E62" s="42"/>
      <c r="G62" s="14"/>
      <c r="H62" s="50"/>
      <c r="I62" s="14"/>
    </row>
    <row r="63" spans="2:9">
      <c r="B63" s="20"/>
      <c r="E63" s="42"/>
      <c r="G63" s="14"/>
      <c r="H63" s="51"/>
      <c r="I63" s="14"/>
    </row>
    <row r="64" spans="2:9">
      <c r="B64" s="20"/>
      <c r="E64" s="42"/>
      <c r="G64" s="14"/>
      <c r="H64" s="50"/>
      <c r="I64" s="14"/>
    </row>
    <row r="65" spans="2:9">
      <c r="B65" s="20"/>
      <c r="D65" s="2" t="s">
        <v>73</v>
      </c>
      <c r="E65" s="42"/>
      <c r="G65" s="14"/>
      <c r="H65" s="50">
        <f>SUM(H30:H63)</f>
        <v>0</v>
      </c>
      <c r="I65" s="14">
        <f>H65/H9</f>
        <v>0</v>
      </c>
    </row>
    <row r="66" spans="2:9">
      <c r="B66" s="20"/>
      <c r="D66" s="2"/>
      <c r="E66" s="42"/>
      <c r="G66" s="14"/>
      <c r="H66" s="50"/>
      <c r="I66" s="14"/>
    </row>
    <row r="67" spans="2:9">
      <c r="E67" s="42"/>
      <c r="G67" s="14"/>
      <c r="H67" s="50"/>
      <c r="I67" s="14"/>
    </row>
    <row r="68" spans="2:9">
      <c r="B68" s="19" t="s">
        <v>18</v>
      </c>
      <c r="C68" s="2"/>
      <c r="D68" s="2" t="s">
        <v>59</v>
      </c>
      <c r="E68" s="42"/>
      <c r="G68" s="14"/>
      <c r="H68" s="50"/>
      <c r="I68" s="14"/>
    </row>
    <row r="69" spans="2:9">
      <c r="B69" s="28" t="s">
        <v>463</v>
      </c>
      <c r="C69" s="2"/>
      <c r="D69" s="1" t="s">
        <v>464</v>
      </c>
      <c r="E69" s="42"/>
      <c r="F69" t="s">
        <v>58</v>
      </c>
      <c r="G69" s="14">
        <v>31.45</v>
      </c>
      <c r="H69" s="50">
        <f t="shared" ref="H69:H75" si="2">E69*G69</f>
        <v>0</v>
      </c>
      <c r="I69" s="14"/>
    </row>
    <row r="70" spans="2:9">
      <c r="B70" s="22" t="s">
        <v>360</v>
      </c>
      <c r="D70" t="s">
        <v>346</v>
      </c>
      <c r="E70" s="42"/>
      <c r="F70" t="s">
        <v>347</v>
      </c>
      <c r="G70" s="14">
        <v>650</v>
      </c>
      <c r="H70" s="50">
        <f t="shared" si="2"/>
        <v>0</v>
      </c>
      <c r="I70" s="14"/>
    </row>
    <row r="71" spans="2:9">
      <c r="B71" s="22" t="s">
        <v>340</v>
      </c>
      <c r="D71" s="1" t="s">
        <v>348</v>
      </c>
      <c r="E71" s="42"/>
      <c r="F71" t="s">
        <v>58</v>
      </c>
      <c r="G71" s="14">
        <v>8.4</v>
      </c>
      <c r="H71" s="50">
        <f t="shared" si="2"/>
        <v>0</v>
      </c>
      <c r="I71" s="14"/>
    </row>
    <row r="72" spans="2:9">
      <c r="B72" s="22" t="s">
        <v>362</v>
      </c>
      <c r="D72" s="1" t="s">
        <v>349</v>
      </c>
      <c r="E72" s="42"/>
      <c r="F72" t="s">
        <v>347</v>
      </c>
      <c r="G72" s="14">
        <v>2100</v>
      </c>
      <c r="H72" s="50">
        <f t="shared" si="2"/>
        <v>0</v>
      </c>
      <c r="I72" s="14"/>
    </row>
    <row r="73" spans="2:9">
      <c r="B73" s="22" t="s">
        <v>363</v>
      </c>
      <c r="D73" s="1" t="s">
        <v>350</v>
      </c>
      <c r="E73" s="42"/>
      <c r="F73" t="s">
        <v>337</v>
      </c>
      <c r="G73" s="14">
        <v>250</v>
      </c>
      <c r="H73" s="50">
        <f t="shared" si="2"/>
        <v>0</v>
      </c>
      <c r="I73" s="14"/>
    </row>
    <row r="74" spans="2:9">
      <c r="B74" s="22" t="s">
        <v>340</v>
      </c>
      <c r="D74" s="1" t="s">
        <v>135</v>
      </c>
      <c r="E74" s="42"/>
      <c r="F74" t="s">
        <v>347</v>
      </c>
      <c r="G74" s="14">
        <v>565</v>
      </c>
      <c r="H74" s="50">
        <f t="shared" si="2"/>
        <v>0</v>
      </c>
      <c r="I74" s="14"/>
    </row>
    <row r="75" spans="2:9">
      <c r="B75" s="22" t="s">
        <v>361</v>
      </c>
      <c r="D75" s="1" t="s">
        <v>364</v>
      </c>
      <c r="E75" s="42"/>
      <c r="F75" t="s">
        <v>347</v>
      </c>
      <c r="G75" s="14">
        <v>595</v>
      </c>
      <c r="H75" s="50">
        <f t="shared" si="2"/>
        <v>0</v>
      </c>
      <c r="I75" s="14"/>
    </row>
    <row r="76" spans="2:9">
      <c r="B76" s="20" t="s">
        <v>5</v>
      </c>
      <c r="E76" s="42"/>
      <c r="G76" s="14"/>
      <c r="H76" s="50"/>
      <c r="I76" s="14"/>
    </row>
    <row r="77" spans="2:9">
      <c r="B77" s="20"/>
      <c r="E77" s="42"/>
      <c r="G77" s="14"/>
      <c r="H77" s="51"/>
      <c r="I77" s="14"/>
    </row>
    <row r="78" spans="2:9">
      <c r="B78" s="20"/>
      <c r="E78" s="42"/>
      <c r="G78" s="14"/>
      <c r="H78" s="50"/>
      <c r="I78" s="14"/>
    </row>
    <row r="79" spans="2:9">
      <c r="B79" s="20"/>
      <c r="D79" s="2" t="s">
        <v>74</v>
      </c>
      <c r="E79" s="42"/>
      <c r="G79" s="14"/>
      <c r="H79" s="50">
        <f>SUM(H69:H77)</f>
        <v>0</v>
      </c>
      <c r="I79" s="14">
        <f>H79/H9</f>
        <v>0</v>
      </c>
    </row>
    <row r="80" spans="2:9">
      <c r="B80" s="20"/>
      <c r="D80" s="2"/>
      <c r="E80" s="42"/>
      <c r="G80" s="14"/>
      <c r="H80" s="50"/>
      <c r="I80" s="14"/>
    </row>
    <row r="81" spans="2:9">
      <c r="E81" s="42"/>
      <c r="G81" s="14"/>
      <c r="H81" s="50"/>
      <c r="I81" s="14"/>
    </row>
    <row r="82" spans="2:9">
      <c r="B82" s="19" t="s">
        <v>19</v>
      </c>
      <c r="C82" s="2"/>
      <c r="D82" s="2" t="s">
        <v>61</v>
      </c>
      <c r="E82" s="42"/>
      <c r="G82" s="14"/>
      <c r="H82" s="50"/>
      <c r="I82" s="14"/>
    </row>
    <row r="83" spans="2:9">
      <c r="B83" s="22" t="s">
        <v>131</v>
      </c>
      <c r="D83" t="s">
        <v>132</v>
      </c>
      <c r="E83" s="42"/>
      <c r="F83" t="s">
        <v>58</v>
      </c>
      <c r="G83" s="14">
        <v>13.75</v>
      </c>
      <c r="H83" s="50">
        <f>E83*G83</f>
        <v>0</v>
      </c>
      <c r="I83" s="14"/>
    </row>
    <row r="84" spans="2:9">
      <c r="B84" s="22" t="s">
        <v>133</v>
      </c>
      <c r="D84" s="1" t="s">
        <v>136</v>
      </c>
      <c r="E84" s="42"/>
      <c r="F84" t="s">
        <v>58</v>
      </c>
      <c r="G84" s="14"/>
      <c r="H84" s="50">
        <f>E84*G84</f>
        <v>0</v>
      </c>
      <c r="I84" s="14"/>
    </row>
    <row r="85" spans="2:9">
      <c r="B85" s="20"/>
      <c r="E85" s="42"/>
      <c r="G85" s="14"/>
      <c r="H85" s="50"/>
      <c r="I85" s="14"/>
    </row>
    <row r="86" spans="2:9">
      <c r="B86" s="20"/>
      <c r="E86" s="42"/>
      <c r="G86" s="14"/>
      <c r="H86" s="50"/>
      <c r="I86" s="14"/>
    </row>
    <row r="87" spans="2:9">
      <c r="B87" s="20"/>
      <c r="E87" s="42"/>
      <c r="G87" s="14"/>
      <c r="H87" s="51"/>
      <c r="I87" s="14"/>
    </row>
    <row r="88" spans="2:9">
      <c r="B88" s="20"/>
      <c r="D88" s="2"/>
      <c r="E88" s="42"/>
      <c r="G88" s="14"/>
      <c r="H88" s="50"/>
      <c r="I88" s="14"/>
    </row>
    <row r="89" spans="2:9">
      <c r="B89" s="20"/>
      <c r="D89" s="2" t="s">
        <v>75</v>
      </c>
      <c r="E89" s="42"/>
      <c r="G89" s="14"/>
      <c r="H89" s="50">
        <f>SUM(H83:H87)</f>
        <v>0</v>
      </c>
      <c r="I89" s="14">
        <f>H89/H9</f>
        <v>0</v>
      </c>
    </row>
    <row r="90" spans="2:9">
      <c r="B90" s="20"/>
      <c r="D90" s="2"/>
      <c r="E90" s="42"/>
      <c r="G90" s="14"/>
      <c r="H90" s="50"/>
      <c r="I90" s="14"/>
    </row>
    <row r="91" spans="2:9">
      <c r="E91" s="42"/>
      <c r="G91" s="14"/>
      <c r="H91" s="50"/>
      <c r="I91" s="14"/>
    </row>
    <row r="92" spans="2:9">
      <c r="B92" s="19" t="s">
        <v>20</v>
      </c>
      <c r="C92" s="2"/>
      <c r="D92" s="2" t="s">
        <v>62</v>
      </c>
      <c r="E92" s="42"/>
      <c r="G92" s="14"/>
      <c r="H92" s="50"/>
      <c r="I92" s="14"/>
    </row>
    <row r="93" spans="2:9">
      <c r="B93" s="22" t="s">
        <v>148</v>
      </c>
      <c r="D93" t="s">
        <v>149</v>
      </c>
      <c r="E93" s="42"/>
      <c r="F93" t="s">
        <v>119</v>
      </c>
      <c r="G93" s="14">
        <v>750</v>
      </c>
      <c r="H93" s="50">
        <f>E93*G93</f>
        <v>0</v>
      </c>
      <c r="I93" s="14"/>
    </row>
    <row r="94" spans="2:9">
      <c r="B94" s="22" t="s">
        <v>365</v>
      </c>
      <c r="D94" s="1" t="s">
        <v>196</v>
      </c>
      <c r="E94" s="42"/>
      <c r="F94" t="s">
        <v>94</v>
      </c>
      <c r="G94" s="14"/>
      <c r="H94" s="50">
        <f>E94*G94</f>
        <v>0</v>
      </c>
      <c r="I94" s="14"/>
    </row>
    <row r="95" spans="2:9">
      <c r="B95" s="22" t="s">
        <v>366</v>
      </c>
      <c r="D95" s="1" t="s">
        <v>367</v>
      </c>
      <c r="E95" s="42"/>
      <c r="F95" t="s">
        <v>120</v>
      </c>
      <c r="G95" s="14">
        <v>35</v>
      </c>
      <c r="H95" s="50">
        <f>E95*G95</f>
        <v>0</v>
      </c>
      <c r="I95" s="14"/>
    </row>
    <row r="96" spans="2:9">
      <c r="B96" s="22" t="s">
        <v>368</v>
      </c>
      <c r="D96" s="1" t="s">
        <v>369</v>
      </c>
      <c r="E96" s="42"/>
      <c r="F96" t="s">
        <v>120</v>
      </c>
      <c r="G96" s="14">
        <v>58</v>
      </c>
      <c r="H96" s="50">
        <f>E96*G96</f>
        <v>0</v>
      </c>
      <c r="I96" s="14"/>
    </row>
    <row r="97" spans="2:9">
      <c r="B97" s="22"/>
      <c r="E97" s="42"/>
      <c r="G97" s="14"/>
      <c r="H97" s="50"/>
      <c r="I97" s="14"/>
    </row>
    <row r="98" spans="2:9">
      <c r="B98" s="22"/>
      <c r="E98" s="42"/>
      <c r="G98" s="14"/>
      <c r="H98" s="50"/>
      <c r="I98" s="14"/>
    </row>
    <row r="99" spans="2:9">
      <c r="B99" s="20"/>
      <c r="E99" s="42"/>
      <c r="G99" s="14"/>
      <c r="H99" s="51"/>
      <c r="I99" s="14"/>
    </row>
    <row r="100" spans="2:9">
      <c r="B100" s="20"/>
      <c r="E100" s="42"/>
      <c r="G100" s="14"/>
      <c r="H100" s="50"/>
      <c r="I100" s="14"/>
    </row>
    <row r="101" spans="2:9">
      <c r="B101" s="20"/>
      <c r="D101" s="2" t="s">
        <v>76</v>
      </c>
      <c r="E101" s="42"/>
      <c r="G101" s="14"/>
      <c r="H101" s="50">
        <f>SUM(H93:H99)</f>
        <v>0</v>
      </c>
      <c r="I101" s="14">
        <f>H101/H9</f>
        <v>0</v>
      </c>
    </row>
    <row r="102" spans="2:9">
      <c r="B102" s="20"/>
      <c r="D102" s="2"/>
      <c r="E102" s="42"/>
      <c r="G102" s="14"/>
      <c r="H102" s="50"/>
      <c r="I102" s="14"/>
    </row>
    <row r="103" spans="2:9">
      <c r="E103" s="42"/>
      <c r="G103" s="14"/>
      <c r="H103" s="50"/>
      <c r="I103" s="14"/>
    </row>
    <row r="104" spans="2:9">
      <c r="B104" s="19" t="s">
        <v>21</v>
      </c>
      <c r="C104" s="2"/>
      <c r="D104" s="2" t="s">
        <v>63</v>
      </c>
      <c r="E104" s="42"/>
      <c r="G104" s="14"/>
      <c r="H104" s="50"/>
      <c r="I104" s="14"/>
    </row>
    <row r="105" spans="2:9">
      <c r="B105" s="22" t="s">
        <v>190</v>
      </c>
      <c r="D105" t="s">
        <v>370</v>
      </c>
      <c r="E105" s="42"/>
      <c r="F105" t="s">
        <v>58</v>
      </c>
      <c r="G105" s="14"/>
      <c r="H105" s="50">
        <f>E105*G105</f>
        <v>0</v>
      </c>
      <c r="I105" s="14"/>
    </row>
    <row r="106" spans="2:9">
      <c r="B106" s="22" t="s">
        <v>371</v>
      </c>
      <c r="D106" s="1" t="s">
        <v>379</v>
      </c>
      <c r="E106" s="42"/>
      <c r="F106" t="s">
        <v>380</v>
      </c>
      <c r="G106" s="14"/>
      <c r="H106" s="50">
        <f>E106*G106</f>
        <v>0</v>
      </c>
      <c r="I106" s="14"/>
    </row>
    <row r="107" spans="2:9">
      <c r="B107" s="22" t="s">
        <v>372</v>
      </c>
      <c r="D107" t="s">
        <v>373</v>
      </c>
      <c r="E107" s="42"/>
      <c r="F107" t="s">
        <v>58</v>
      </c>
      <c r="G107" s="14"/>
      <c r="H107" s="50">
        <f>E107*G107</f>
        <v>0</v>
      </c>
      <c r="I107" s="14"/>
    </row>
    <row r="108" spans="2:9">
      <c r="B108" s="22" t="s">
        <v>375</v>
      </c>
      <c r="D108" t="s">
        <v>376</v>
      </c>
      <c r="E108" s="42"/>
      <c r="F108" t="s">
        <v>14</v>
      </c>
      <c r="G108" s="14"/>
      <c r="H108" s="50">
        <f>E108*G108</f>
        <v>0</v>
      </c>
      <c r="I108" s="14"/>
    </row>
    <row r="109" spans="2:9">
      <c r="B109" s="22" t="s">
        <v>377</v>
      </c>
      <c r="D109" t="s">
        <v>378</v>
      </c>
      <c r="E109" s="42"/>
      <c r="F109" t="s">
        <v>120</v>
      </c>
      <c r="G109" s="14"/>
      <c r="H109" s="50">
        <f>E109*G109</f>
        <v>0</v>
      </c>
      <c r="I109" s="14"/>
    </row>
    <row r="110" spans="2:9">
      <c r="B110" s="22"/>
      <c r="E110" s="42"/>
      <c r="G110" s="14"/>
      <c r="H110" s="50"/>
      <c r="I110" s="14"/>
    </row>
    <row r="111" spans="2:9">
      <c r="B111" s="22"/>
      <c r="E111" s="42"/>
      <c r="G111" s="14"/>
      <c r="H111" s="50"/>
      <c r="I111" s="14"/>
    </row>
    <row r="112" spans="2:9">
      <c r="B112" s="20"/>
      <c r="E112" s="42"/>
      <c r="G112" s="14"/>
      <c r="H112" s="51"/>
      <c r="I112" s="14"/>
    </row>
    <row r="113" spans="2:9">
      <c r="B113" s="20"/>
      <c r="E113" s="42"/>
      <c r="G113" s="14"/>
      <c r="H113" s="50"/>
      <c r="I113" s="14"/>
    </row>
    <row r="114" spans="2:9">
      <c r="B114" s="20"/>
      <c r="D114" s="2" t="s">
        <v>77</v>
      </c>
      <c r="E114" s="42"/>
      <c r="G114" s="14"/>
      <c r="H114" s="50">
        <f>SUM(H105:H112)</f>
        <v>0</v>
      </c>
      <c r="I114" s="14">
        <f>H114/H9</f>
        <v>0</v>
      </c>
    </row>
    <row r="115" spans="2:9">
      <c r="B115" s="20"/>
      <c r="D115" s="2"/>
      <c r="E115" s="42"/>
      <c r="G115" s="14"/>
      <c r="H115" s="50"/>
      <c r="I115" s="14"/>
    </row>
    <row r="116" spans="2:9">
      <c r="E116" s="42"/>
      <c r="G116" s="14"/>
      <c r="H116" s="50"/>
      <c r="I116" s="14"/>
    </row>
    <row r="117" spans="2:9">
      <c r="B117" s="19" t="s">
        <v>22</v>
      </c>
      <c r="C117" s="2"/>
      <c r="D117" s="2" t="s">
        <v>64</v>
      </c>
      <c r="E117" s="42"/>
      <c r="G117" s="14"/>
      <c r="H117" s="50"/>
      <c r="I117" s="14"/>
    </row>
    <row r="118" spans="2:9">
      <c r="B118" s="22" t="s">
        <v>381</v>
      </c>
      <c r="D118" t="s">
        <v>382</v>
      </c>
      <c r="E118" s="42"/>
      <c r="F118" t="s">
        <v>58</v>
      </c>
      <c r="G118" s="14"/>
      <c r="H118" s="50">
        <f t="shared" ref="H118:H128" si="3">E118*G118</f>
        <v>0</v>
      </c>
      <c r="I118" s="14"/>
    </row>
    <row r="119" spans="2:9">
      <c r="B119" s="22" t="s">
        <v>383</v>
      </c>
      <c r="D119" s="1" t="s">
        <v>384</v>
      </c>
      <c r="E119" s="42"/>
      <c r="F119" t="s">
        <v>161</v>
      </c>
      <c r="G119" s="14"/>
      <c r="H119" s="50">
        <f t="shared" si="3"/>
        <v>0</v>
      </c>
      <c r="I119" s="14"/>
    </row>
    <row r="120" spans="2:9">
      <c r="B120" s="22" t="s">
        <v>385</v>
      </c>
      <c r="D120" s="1" t="s">
        <v>386</v>
      </c>
      <c r="E120" s="42"/>
      <c r="F120" t="s">
        <v>161</v>
      </c>
      <c r="G120" s="14"/>
      <c r="H120" s="50">
        <f t="shared" si="3"/>
        <v>0</v>
      </c>
      <c r="I120" s="14"/>
    </row>
    <row r="121" spans="2:9">
      <c r="B121" s="22" t="s">
        <v>387</v>
      </c>
      <c r="D121" s="1" t="s">
        <v>388</v>
      </c>
      <c r="E121" s="42"/>
      <c r="F121" t="s">
        <v>58</v>
      </c>
      <c r="G121" s="14"/>
      <c r="H121" s="50">
        <f t="shared" si="3"/>
        <v>0</v>
      </c>
      <c r="I121" s="14"/>
    </row>
    <row r="122" spans="2:9">
      <c r="B122" s="22" t="s">
        <v>389</v>
      </c>
      <c r="D122" s="1" t="s">
        <v>390</v>
      </c>
      <c r="E122" s="42"/>
      <c r="F122" t="s">
        <v>58</v>
      </c>
      <c r="G122" s="14"/>
      <c r="H122" s="50">
        <f t="shared" si="3"/>
        <v>0</v>
      </c>
      <c r="I122" s="14"/>
    </row>
    <row r="123" spans="2:9">
      <c r="B123" s="22" t="s">
        <v>391</v>
      </c>
      <c r="D123" s="1" t="s">
        <v>392</v>
      </c>
      <c r="E123" s="42"/>
      <c r="F123" t="s">
        <v>58</v>
      </c>
      <c r="G123" s="14"/>
      <c r="H123" s="50">
        <f t="shared" si="3"/>
        <v>0</v>
      </c>
      <c r="I123" s="14"/>
    </row>
    <row r="124" spans="2:9">
      <c r="B124" s="22" t="s">
        <v>393</v>
      </c>
      <c r="D124" s="1" t="s">
        <v>394</v>
      </c>
      <c r="E124" s="42"/>
      <c r="F124" t="s">
        <v>58</v>
      </c>
      <c r="G124" s="14"/>
      <c r="H124" s="50">
        <f t="shared" si="3"/>
        <v>0</v>
      </c>
      <c r="I124" s="14"/>
    </row>
    <row r="125" spans="2:9">
      <c r="B125" s="22" t="s">
        <v>395</v>
      </c>
      <c r="D125" s="1" t="s">
        <v>396</v>
      </c>
      <c r="E125" s="42"/>
      <c r="F125" t="s">
        <v>58</v>
      </c>
      <c r="G125" s="14"/>
      <c r="H125" s="50">
        <f t="shared" si="3"/>
        <v>0</v>
      </c>
      <c r="I125" s="14"/>
    </row>
    <row r="126" spans="2:9">
      <c r="B126" s="22" t="s">
        <v>397</v>
      </c>
      <c r="D126" s="1" t="s">
        <v>398</v>
      </c>
      <c r="E126" s="42"/>
      <c r="F126" t="s">
        <v>58</v>
      </c>
      <c r="G126" s="14"/>
      <c r="H126" s="50">
        <f t="shared" si="3"/>
        <v>0</v>
      </c>
      <c r="I126" s="14"/>
    </row>
    <row r="127" spans="2:9">
      <c r="B127" s="22" t="s">
        <v>399</v>
      </c>
      <c r="D127" s="1" t="s">
        <v>400</v>
      </c>
      <c r="E127" s="42"/>
      <c r="F127" t="s">
        <v>94</v>
      </c>
      <c r="G127" s="14"/>
      <c r="H127" s="50">
        <f t="shared" si="3"/>
        <v>0</v>
      </c>
      <c r="I127" s="14"/>
    </row>
    <row r="128" spans="2:9">
      <c r="B128" s="20"/>
      <c r="E128" s="42"/>
      <c r="G128" s="14"/>
      <c r="H128" s="50">
        <f t="shared" si="3"/>
        <v>0</v>
      </c>
      <c r="I128" s="14"/>
    </row>
    <row r="129" spans="2:9">
      <c r="B129" s="20"/>
      <c r="E129" s="42"/>
      <c r="G129" s="14"/>
      <c r="H129" s="51"/>
      <c r="I129" s="14"/>
    </row>
    <row r="130" spans="2:9">
      <c r="B130" s="20"/>
      <c r="E130" s="42"/>
      <c r="G130" s="14"/>
      <c r="H130" s="50"/>
      <c r="I130" s="14"/>
    </row>
    <row r="131" spans="2:9">
      <c r="B131" s="20"/>
      <c r="D131" s="2" t="s">
        <v>78</v>
      </c>
      <c r="E131" s="42"/>
      <c r="G131" s="14"/>
      <c r="H131" s="50">
        <f>SUM(H118:H129)</f>
        <v>0</v>
      </c>
      <c r="I131" s="14">
        <f>H131/H9</f>
        <v>0</v>
      </c>
    </row>
    <row r="132" spans="2:9">
      <c r="B132" s="20"/>
      <c r="D132" s="2"/>
      <c r="E132" s="42"/>
      <c r="G132" s="14"/>
      <c r="H132" s="50"/>
      <c r="I132" s="14"/>
    </row>
    <row r="133" spans="2:9">
      <c r="E133" s="42"/>
      <c r="G133" s="14"/>
      <c r="H133" s="50"/>
      <c r="I133" s="14"/>
    </row>
    <row r="134" spans="2:9">
      <c r="B134" s="19" t="s">
        <v>23</v>
      </c>
      <c r="C134" s="2"/>
      <c r="D134" s="2" t="s">
        <v>80</v>
      </c>
      <c r="E134" s="42"/>
      <c r="G134" s="14"/>
      <c r="H134" s="50"/>
      <c r="I134" s="14"/>
    </row>
    <row r="135" spans="2:9">
      <c r="B135" s="22" t="s">
        <v>220</v>
      </c>
      <c r="D135" t="s">
        <v>401</v>
      </c>
      <c r="E135" s="42"/>
      <c r="F135" t="s">
        <v>119</v>
      </c>
      <c r="G135" s="14"/>
      <c r="H135" s="50"/>
      <c r="I135" s="14"/>
    </row>
    <row r="136" spans="2:9">
      <c r="B136" s="22" t="s">
        <v>402</v>
      </c>
      <c r="D136" s="2"/>
      <c r="E136" s="42"/>
      <c r="G136" s="14"/>
      <c r="H136" s="50"/>
      <c r="I136" s="14"/>
    </row>
    <row r="137" spans="2:9">
      <c r="B137" s="20"/>
      <c r="E137" s="42"/>
      <c r="G137" s="14"/>
      <c r="H137" s="50"/>
      <c r="I137" s="14"/>
    </row>
    <row r="138" spans="2:9">
      <c r="B138" s="20"/>
      <c r="E138" s="42"/>
      <c r="G138" s="14"/>
      <c r="H138" s="50"/>
      <c r="I138" s="14"/>
    </row>
    <row r="139" spans="2:9">
      <c r="B139" s="20"/>
      <c r="E139" s="42"/>
      <c r="G139" s="14"/>
      <c r="H139" s="51"/>
      <c r="I139" s="14"/>
    </row>
    <row r="140" spans="2:9">
      <c r="B140" s="20"/>
      <c r="E140" s="42"/>
      <c r="G140" s="14"/>
      <c r="H140" s="50"/>
      <c r="I140" s="14"/>
    </row>
    <row r="141" spans="2:9">
      <c r="B141" s="20"/>
      <c r="D141" s="2" t="s">
        <v>81</v>
      </c>
      <c r="E141" s="42"/>
      <c r="G141" s="14"/>
      <c r="H141" s="50">
        <f>SUM(H135:H139)</f>
        <v>0</v>
      </c>
      <c r="I141" s="14">
        <f>H141/H9</f>
        <v>0</v>
      </c>
    </row>
    <row r="142" spans="2:9">
      <c r="B142" s="20"/>
      <c r="D142" s="2"/>
      <c r="E142" s="42"/>
      <c r="G142" s="14"/>
      <c r="H142" s="50"/>
      <c r="I142" s="14"/>
    </row>
    <row r="143" spans="2:9">
      <c r="E143" s="42"/>
      <c r="G143" s="14"/>
      <c r="H143" s="50"/>
      <c r="I143" s="14"/>
    </row>
    <row r="144" spans="2:9">
      <c r="B144" s="19" t="s">
        <v>24</v>
      </c>
      <c r="C144" s="2"/>
      <c r="D144" s="2" t="s">
        <v>65</v>
      </c>
      <c r="E144" s="42"/>
      <c r="G144" s="14"/>
      <c r="H144" s="50"/>
      <c r="I144" s="14"/>
    </row>
    <row r="145" spans="2:9">
      <c r="B145" s="22" t="s">
        <v>403</v>
      </c>
      <c r="D145" t="s">
        <v>404</v>
      </c>
      <c r="E145" s="42"/>
      <c r="F145" t="s">
        <v>58</v>
      </c>
      <c r="G145" s="14"/>
      <c r="H145" s="50">
        <f t="shared" ref="H145:H171" si="4">E145*G145</f>
        <v>0</v>
      </c>
      <c r="I145" s="14"/>
    </row>
    <row r="146" spans="2:9">
      <c r="B146" s="28" t="s">
        <v>405</v>
      </c>
      <c r="C146" s="2"/>
      <c r="D146" s="1" t="s">
        <v>167</v>
      </c>
      <c r="E146" s="42"/>
      <c r="F146" t="s">
        <v>58</v>
      </c>
      <c r="G146" s="27"/>
      <c r="H146" s="50">
        <f t="shared" si="4"/>
        <v>0</v>
      </c>
      <c r="I146" s="14"/>
    </row>
    <row r="147" spans="2:9">
      <c r="B147" s="28" t="s">
        <v>406</v>
      </c>
      <c r="C147" s="2"/>
      <c r="D147" s="1" t="s">
        <v>168</v>
      </c>
      <c r="E147" s="42"/>
      <c r="F147" t="s">
        <v>58</v>
      </c>
      <c r="G147" s="27"/>
      <c r="H147" s="50">
        <f t="shared" si="4"/>
        <v>0</v>
      </c>
      <c r="I147" s="14"/>
    </row>
    <row r="148" spans="2:9">
      <c r="B148" s="28" t="s">
        <v>166</v>
      </c>
      <c r="C148" s="2"/>
      <c r="D148" s="1" t="s">
        <v>169</v>
      </c>
      <c r="E148" s="42"/>
      <c r="F148" t="s">
        <v>58</v>
      </c>
      <c r="G148" s="27"/>
      <c r="H148" s="50">
        <f t="shared" si="4"/>
        <v>0</v>
      </c>
      <c r="I148" s="14"/>
    </row>
    <row r="149" spans="2:9">
      <c r="B149" s="22" t="s">
        <v>407</v>
      </c>
      <c r="D149" t="s">
        <v>155</v>
      </c>
      <c r="E149" s="42"/>
      <c r="F149" t="s">
        <v>58</v>
      </c>
      <c r="G149" s="27">
        <v>6.85</v>
      </c>
      <c r="H149" s="50">
        <f t="shared" si="4"/>
        <v>0</v>
      </c>
      <c r="I149" s="14"/>
    </row>
    <row r="150" spans="2:9">
      <c r="B150" s="22" t="s">
        <v>413</v>
      </c>
      <c r="D150" s="1" t="s">
        <v>156</v>
      </c>
      <c r="E150" s="42"/>
      <c r="F150" t="s">
        <v>161</v>
      </c>
      <c r="G150" s="27"/>
      <c r="H150" s="50">
        <f t="shared" si="4"/>
        <v>0</v>
      </c>
      <c r="I150" s="14"/>
    </row>
    <row r="151" spans="2:9">
      <c r="B151" s="22" t="s">
        <v>408</v>
      </c>
      <c r="D151" s="1" t="s">
        <v>157</v>
      </c>
      <c r="E151" s="42"/>
      <c r="F151" t="s">
        <v>161</v>
      </c>
      <c r="G151" s="27"/>
      <c r="H151" s="50">
        <f t="shared" si="4"/>
        <v>0</v>
      </c>
      <c r="I151" s="14"/>
    </row>
    <row r="152" spans="2:9">
      <c r="B152" s="22" t="s">
        <v>414</v>
      </c>
      <c r="D152" s="1" t="s">
        <v>158</v>
      </c>
      <c r="E152" s="42"/>
      <c r="F152" t="s">
        <v>162</v>
      </c>
      <c r="G152" s="27"/>
      <c r="H152" s="50">
        <f t="shared" si="4"/>
        <v>0</v>
      </c>
      <c r="I152" s="14"/>
    </row>
    <row r="153" spans="2:9">
      <c r="B153" s="22" t="s">
        <v>409</v>
      </c>
      <c r="D153" s="1" t="s">
        <v>159</v>
      </c>
      <c r="E153" s="42"/>
      <c r="F153" t="s">
        <v>120</v>
      </c>
      <c r="G153" s="27"/>
      <c r="H153" s="50">
        <f t="shared" si="4"/>
        <v>0</v>
      </c>
      <c r="I153" s="14"/>
    </row>
    <row r="154" spans="2:9">
      <c r="B154" s="22" t="s">
        <v>154</v>
      </c>
      <c r="D154" s="1" t="s">
        <v>160</v>
      </c>
      <c r="E154" s="42"/>
      <c r="F154" t="s">
        <v>58</v>
      </c>
      <c r="G154" s="27"/>
      <c r="H154" s="50">
        <f t="shared" si="4"/>
        <v>0</v>
      </c>
      <c r="I154" s="14"/>
    </row>
    <row r="155" spans="2:9">
      <c r="B155" s="22" t="s">
        <v>410</v>
      </c>
      <c r="D155" s="1" t="s">
        <v>163</v>
      </c>
      <c r="E155" s="42"/>
      <c r="F155" t="s">
        <v>58</v>
      </c>
      <c r="G155" s="27"/>
      <c r="H155" s="50">
        <f t="shared" si="4"/>
        <v>0</v>
      </c>
      <c r="I155" s="14"/>
    </row>
    <row r="156" spans="2:9">
      <c r="B156" s="22" t="s">
        <v>411</v>
      </c>
      <c r="D156" s="1" t="s">
        <v>164</v>
      </c>
      <c r="E156" s="42"/>
      <c r="F156" t="s">
        <v>58</v>
      </c>
      <c r="G156" s="27"/>
      <c r="H156" s="50">
        <f t="shared" si="4"/>
        <v>0</v>
      </c>
      <c r="I156" s="14"/>
    </row>
    <row r="157" spans="2:9">
      <c r="B157" s="22" t="s">
        <v>412</v>
      </c>
      <c r="D157" s="1" t="s">
        <v>165</v>
      </c>
      <c r="E157" s="42"/>
      <c r="F157" t="s">
        <v>58</v>
      </c>
      <c r="G157" s="27"/>
      <c r="H157" s="50">
        <f t="shared" si="4"/>
        <v>0</v>
      </c>
      <c r="I157" s="14"/>
    </row>
    <row r="158" spans="2:9">
      <c r="B158" s="22" t="s">
        <v>415</v>
      </c>
      <c r="D158" s="1" t="s">
        <v>171</v>
      </c>
      <c r="E158" s="42"/>
      <c r="F158" t="s">
        <v>58</v>
      </c>
      <c r="G158" s="27">
        <v>9</v>
      </c>
      <c r="H158" s="50">
        <f t="shared" si="4"/>
        <v>0</v>
      </c>
      <c r="I158" s="14"/>
    </row>
    <row r="159" spans="2:9">
      <c r="B159" s="22" t="s">
        <v>170</v>
      </c>
      <c r="D159" s="1" t="s">
        <v>172</v>
      </c>
      <c r="E159" s="42"/>
      <c r="F159" t="s">
        <v>58</v>
      </c>
      <c r="G159" s="27"/>
      <c r="H159" s="50">
        <f t="shared" si="4"/>
        <v>0</v>
      </c>
      <c r="I159" s="14"/>
    </row>
    <row r="160" spans="2:9">
      <c r="B160" s="22" t="s">
        <v>416</v>
      </c>
      <c r="D160" s="1" t="s">
        <v>173</v>
      </c>
      <c r="E160" s="42"/>
      <c r="F160" t="s">
        <v>58</v>
      </c>
      <c r="G160" s="27"/>
      <c r="H160" s="50">
        <f t="shared" si="4"/>
        <v>0</v>
      </c>
      <c r="I160" s="14"/>
    </row>
    <row r="161" spans="2:9">
      <c r="B161" s="22" t="s">
        <v>417</v>
      </c>
      <c r="D161" s="1" t="s">
        <v>179</v>
      </c>
      <c r="E161" s="42"/>
      <c r="F161" t="s">
        <v>58</v>
      </c>
      <c r="G161" s="27"/>
      <c r="H161" s="50">
        <f t="shared" si="4"/>
        <v>0</v>
      </c>
      <c r="I161" s="14"/>
    </row>
    <row r="162" spans="2:9">
      <c r="B162" s="22" t="s">
        <v>418</v>
      </c>
      <c r="D162" s="1" t="s">
        <v>181</v>
      </c>
      <c r="E162" s="42"/>
      <c r="F162" t="s">
        <v>58</v>
      </c>
      <c r="G162" s="27"/>
      <c r="H162" s="50">
        <f t="shared" si="4"/>
        <v>0</v>
      </c>
      <c r="I162" s="14"/>
    </row>
    <row r="163" spans="2:9">
      <c r="B163" s="22" t="s">
        <v>419</v>
      </c>
      <c r="D163" s="1" t="s">
        <v>175</v>
      </c>
      <c r="E163" s="42"/>
      <c r="F163" t="s">
        <v>58</v>
      </c>
      <c r="G163" s="27">
        <v>2.25</v>
      </c>
      <c r="H163" s="50">
        <f t="shared" si="4"/>
        <v>0</v>
      </c>
      <c r="I163" s="14"/>
    </row>
    <row r="164" spans="2:9">
      <c r="B164" s="22" t="s">
        <v>420</v>
      </c>
      <c r="D164" s="1" t="s">
        <v>182</v>
      </c>
      <c r="E164" s="42"/>
      <c r="F164" t="s">
        <v>120</v>
      </c>
      <c r="G164" s="27"/>
      <c r="H164" s="50">
        <f t="shared" si="4"/>
        <v>0</v>
      </c>
      <c r="I164" s="14"/>
    </row>
    <row r="165" spans="2:9">
      <c r="B165" s="22" t="s">
        <v>421</v>
      </c>
      <c r="D165" s="1" t="s">
        <v>176</v>
      </c>
      <c r="E165" s="42"/>
      <c r="F165" t="s">
        <v>174</v>
      </c>
      <c r="G165" s="27">
        <v>25</v>
      </c>
      <c r="H165" s="50">
        <f t="shared" si="4"/>
        <v>0</v>
      </c>
      <c r="I165" s="14"/>
    </row>
    <row r="166" spans="2:9">
      <c r="B166" s="22" t="s">
        <v>422</v>
      </c>
      <c r="D166" s="1" t="s">
        <v>177</v>
      </c>
      <c r="E166" s="42"/>
      <c r="F166" t="s">
        <v>174</v>
      </c>
      <c r="G166" s="27"/>
      <c r="H166" s="50">
        <f t="shared" si="4"/>
        <v>0</v>
      </c>
      <c r="I166" s="14"/>
    </row>
    <row r="167" spans="2:9">
      <c r="B167" s="22" t="s">
        <v>183</v>
      </c>
      <c r="D167" s="1" t="s">
        <v>184</v>
      </c>
      <c r="E167" s="42"/>
      <c r="F167" t="s">
        <v>58</v>
      </c>
      <c r="G167" s="27">
        <v>1.85</v>
      </c>
      <c r="H167" s="50">
        <f t="shared" si="4"/>
        <v>0</v>
      </c>
      <c r="I167" s="14"/>
    </row>
    <row r="168" spans="2:9">
      <c r="B168" s="22" t="s">
        <v>423</v>
      </c>
      <c r="D168" s="1" t="s">
        <v>185</v>
      </c>
      <c r="E168" s="42"/>
      <c r="F168" t="s">
        <v>58</v>
      </c>
      <c r="G168" s="27">
        <v>1.75</v>
      </c>
      <c r="H168" s="50">
        <f t="shared" si="4"/>
        <v>0</v>
      </c>
      <c r="I168" s="14"/>
    </row>
    <row r="169" spans="2:9">
      <c r="B169" s="22" t="s">
        <v>424</v>
      </c>
      <c r="D169" s="1" t="s">
        <v>186</v>
      </c>
      <c r="E169" s="42"/>
      <c r="F169" t="s">
        <v>58</v>
      </c>
      <c r="G169" s="27"/>
      <c r="H169" s="50">
        <f t="shared" si="4"/>
        <v>0</v>
      </c>
      <c r="I169" s="14"/>
    </row>
    <row r="170" spans="2:9">
      <c r="B170" s="22" t="s">
        <v>425</v>
      </c>
      <c r="D170" s="1" t="s">
        <v>188</v>
      </c>
      <c r="E170" s="42"/>
      <c r="F170" t="s">
        <v>119</v>
      </c>
      <c r="G170" s="27"/>
      <c r="H170" s="50">
        <f t="shared" si="4"/>
        <v>0</v>
      </c>
      <c r="I170" s="14"/>
    </row>
    <row r="171" spans="2:9">
      <c r="B171" s="22" t="s">
        <v>426</v>
      </c>
      <c r="D171" s="1" t="s">
        <v>187</v>
      </c>
      <c r="E171" s="42"/>
      <c r="F171" t="s">
        <v>120</v>
      </c>
      <c r="G171" s="27"/>
      <c r="H171" s="50">
        <f t="shared" si="4"/>
        <v>0</v>
      </c>
      <c r="I171" s="14"/>
    </row>
    <row r="172" spans="2:9">
      <c r="B172" s="22"/>
      <c r="E172" s="42"/>
      <c r="G172" s="14"/>
      <c r="H172" s="50"/>
      <c r="I172" s="14"/>
    </row>
    <row r="173" spans="2:9">
      <c r="B173" s="20"/>
      <c r="E173" s="42"/>
      <c r="G173" s="14"/>
      <c r="H173" s="50"/>
      <c r="I173" s="14"/>
    </row>
    <row r="174" spans="2:9">
      <c r="B174" s="20"/>
      <c r="E174" s="42"/>
      <c r="G174" s="14"/>
      <c r="H174" s="50"/>
      <c r="I174" s="14"/>
    </row>
    <row r="175" spans="2:9">
      <c r="B175" s="20"/>
      <c r="E175" s="42"/>
      <c r="G175" s="14"/>
      <c r="H175" s="50"/>
      <c r="I175" s="14"/>
    </row>
    <row r="176" spans="2:9">
      <c r="B176" s="20"/>
      <c r="E176" s="42"/>
      <c r="G176" s="14"/>
      <c r="H176" s="51"/>
      <c r="I176" s="14"/>
    </row>
    <row r="177" spans="2:9">
      <c r="B177" s="20"/>
      <c r="E177" s="42"/>
      <c r="G177" s="14"/>
      <c r="H177" s="50"/>
      <c r="I177" s="14"/>
    </row>
    <row r="178" spans="2:9">
      <c r="B178" s="20"/>
      <c r="D178" s="2" t="s">
        <v>82</v>
      </c>
      <c r="E178" s="42"/>
      <c r="G178" s="14"/>
      <c r="H178" s="50">
        <f>SUM(H144:H176)</f>
        <v>0</v>
      </c>
      <c r="I178" s="14">
        <f>H178/H9</f>
        <v>0</v>
      </c>
    </row>
    <row r="179" spans="2:9">
      <c r="B179" s="20"/>
      <c r="D179" s="2"/>
      <c r="E179" s="42"/>
      <c r="G179" s="14"/>
      <c r="H179" s="50"/>
      <c r="I179" s="14"/>
    </row>
    <row r="180" spans="2:9">
      <c r="E180" s="42"/>
      <c r="G180" s="14"/>
      <c r="H180" s="50"/>
      <c r="I180" s="14"/>
    </row>
    <row r="181" spans="2:9">
      <c r="B181" s="21">
        <v>10000</v>
      </c>
      <c r="C181" s="2"/>
      <c r="D181" s="2" t="s">
        <v>66</v>
      </c>
      <c r="E181" s="42"/>
      <c r="G181" s="14"/>
      <c r="H181" s="50"/>
      <c r="I181" s="14"/>
    </row>
    <row r="182" spans="2:9">
      <c r="B182" s="20">
        <v>10100</v>
      </c>
      <c r="D182" t="s">
        <v>427</v>
      </c>
      <c r="E182" s="42"/>
      <c r="F182" t="s">
        <v>14</v>
      </c>
      <c r="G182" s="14"/>
      <c r="H182" s="50">
        <f>E182*G182</f>
        <v>0</v>
      </c>
      <c r="I182" s="14"/>
    </row>
    <row r="183" spans="2:9">
      <c r="B183" s="20">
        <v>10200</v>
      </c>
      <c r="D183" s="1" t="s">
        <v>428</v>
      </c>
      <c r="E183" s="42"/>
      <c r="F183" t="s">
        <v>94</v>
      </c>
      <c r="G183" s="14"/>
      <c r="H183" s="50">
        <f>E183*G183</f>
        <v>0</v>
      </c>
      <c r="I183" s="14"/>
    </row>
    <row r="184" spans="2:9">
      <c r="B184" s="20">
        <v>10300</v>
      </c>
      <c r="D184" s="1" t="s">
        <v>429</v>
      </c>
      <c r="E184" s="42"/>
      <c r="F184" t="s">
        <v>94</v>
      </c>
      <c r="G184" s="14"/>
      <c r="H184" s="50">
        <f>E184*G184</f>
        <v>0</v>
      </c>
      <c r="I184" s="14"/>
    </row>
    <row r="185" spans="2:9">
      <c r="B185" s="20"/>
      <c r="E185" s="42"/>
      <c r="G185" s="14"/>
      <c r="H185" s="50">
        <f>E185*G185</f>
        <v>0</v>
      </c>
      <c r="I185" s="14"/>
    </row>
    <row r="186" spans="2:9">
      <c r="B186" s="20"/>
      <c r="E186" s="42"/>
      <c r="G186" s="14"/>
      <c r="H186" s="51"/>
      <c r="I186" s="14"/>
    </row>
    <row r="187" spans="2:9">
      <c r="B187" s="20"/>
      <c r="E187" s="42"/>
      <c r="G187" s="14"/>
      <c r="H187" s="50"/>
      <c r="I187" s="14"/>
    </row>
    <row r="188" spans="2:9">
      <c r="B188" s="20"/>
      <c r="D188" s="2" t="s">
        <v>83</v>
      </c>
      <c r="E188" s="42"/>
      <c r="G188" s="14"/>
      <c r="H188" s="50">
        <f>SUM(H182:H186)</f>
        <v>0</v>
      </c>
      <c r="I188" s="14">
        <f>H188/H9</f>
        <v>0</v>
      </c>
    </row>
    <row r="189" spans="2:9">
      <c r="B189" s="20"/>
      <c r="D189" s="2"/>
      <c r="E189" s="42"/>
      <c r="G189" s="14"/>
      <c r="H189" s="50"/>
      <c r="I189" s="14"/>
    </row>
    <row r="190" spans="2:9">
      <c r="E190" s="42"/>
      <c r="G190" s="14"/>
      <c r="H190" s="50"/>
      <c r="I190" s="14"/>
    </row>
    <row r="191" spans="2:9">
      <c r="B191" s="21">
        <v>11000</v>
      </c>
      <c r="C191" s="2"/>
      <c r="D191" s="2" t="s">
        <v>67</v>
      </c>
      <c r="E191" s="42"/>
      <c r="G191" s="14"/>
      <c r="H191" s="50"/>
      <c r="I191" s="14"/>
    </row>
    <row r="192" spans="2:9">
      <c r="B192" s="20">
        <v>11100</v>
      </c>
      <c r="D192" t="s">
        <v>430</v>
      </c>
      <c r="E192" s="42"/>
      <c r="F192" t="s">
        <v>119</v>
      </c>
      <c r="G192" s="14"/>
      <c r="H192" s="50">
        <f>E192*G192</f>
        <v>0</v>
      </c>
      <c r="I192" s="14"/>
    </row>
    <row r="193" spans="2:9">
      <c r="B193" s="20"/>
      <c r="E193" s="42"/>
      <c r="G193" s="14"/>
      <c r="H193" s="50"/>
      <c r="I193" s="14"/>
    </row>
    <row r="194" spans="2:9">
      <c r="B194" s="20"/>
      <c r="E194" s="42"/>
      <c r="G194" s="14"/>
      <c r="H194" s="50"/>
      <c r="I194" s="14"/>
    </row>
    <row r="195" spans="2:9">
      <c r="B195" s="20"/>
      <c r="E195" s="42"/>
      <c r="G195" s="14"/>
      <c r="H195" s="50"/>
      <c r="I195" s="14"/>
    </row>
    <row r="196" spans="2:9">
      <c r="B196" s="20"/>
      <c r="E196" s="42"/>
      <c r="G196" s="14"/>
      <c r="H196" s="51"/>
      <c r="I196" s="14"/>
    </row>
    <row r="197" spans="2:9">
      <c r="B197" s="20"/>
      <c r="E197" s="42"/>
      <c r="G197" s="14"/>
      <c r="H197" s="50"/>
      <c r="I197" s="14"/>
    </row>
    <row r="198" spans="2:9">
      <c r="B198" s="20"/>
      <c r="D198" s="2" t="s">
        <v>84</v>
      </c>
      <c r="E198" s="42"/>
      <c r="G198" s="14"/>
      <c r="H198" s="50">
        <f>SUM(H192:H196)</f>
        <v>0</v>
      </c>
      <c r="I198" s="14">
        <f>H198/H9</f>
        <v>0</v>
      </c>
    </row>
    <row r="199" spans="2:9">
      <c r="B199" s="20"/>
      <c r="D199" s="2"/>
      <c r="E199" s="42"/>
      <c r="G199" s="14"/>
      <c r="H199" s="50"/>
      <c r="I199" s="14"/>
    </row>
    <row r="200" spans="2:9">
      <c r="E200" s="42"/>
      <c r="G200" s="14"/>
      <c r="H200" s="50"/>
      <c r="I200" s="14"/>
    </row>
    <row r="201" spans="2:9">
      <c r="B201" s="21">
        <v>12000</v>
      </c>
      <c r="C201" s="2"/>
      <c r="D201" s="2" t="s">
        <v>68</v>
      </c>
      <c r="E201" s="42"/>
      <c r="G201" s="14"/>
      <c r="H201" s="50"/>
      <c r="I201" s="14"/>
    </row>
    <row r="202" spans="2:9">
      <c r="B202" s="20">
        <v>12100</v>
      </c>
      <c r="E202" s="42"/>
      <c r="G202" s="14"/>
      <c r="H202" s="50">
        <f>E202*G202</f>
        <v>0</v>
      </c>
      <c r="I202" s="14"/>
    </row>
    <row r="203" spans="2:9">
      <c r="B203" s="20"/>
      <c r="D203" s="1"/>
      <c r="E203" s="42"/>
      <c r="G203" s="14"/>
      <c r="H203" s="50">
        <f>E203*G203</f>
        <v>0</v>
      </c>
      <c r="I203" s="14"/>
    </row>
    <row r="204" spans="2:9">
      <c r="B204" s="20"/>
      <c r="D204" s="1"/>
      <c r="E204" s="42"/>
      <c r="G204" s="14"/>
      <c r="H204" s="50"/>
      <c r="I204" s="14"/>
    </row>
    <row r="205" spans="2:9">
      <c r="B205" s="20"/>
      <c r="E205" s="42"/>
      <c r="G205" s="14"/>
      <c r="H205" s="51"/>
      <c r="I205" s="14"/>
    </row>
    <row r="206" spans="2:9">
      <c r="B206" s="20"/>
      <c r="E206" s="42"/>
      <c r="G206" s="14"/>
      <c r="H206" s="50"/>
      <c r="I206" s="14"/>
    </row>
    <row r="207" spans="2:9">
      <c r="B207" s="20"/>
      <c r="D207" s="2" t="s">
        <v>85</v>
      </c>
      <c r="E207" s="42"/>
      <c r="G207" s="14"/>
      <c r="H207" s="50">
        <f>SUM(H202:H205)</f>
        <v>0</v>
      </c>
      <c r="I207" s="14">
        <f>H207/H9</f>
        <v>0</v>
      </c>
    </row>
    <row r="208" spans="2:9">
      <c r="B208" s="20"/>
      <c r="D208" s="2"/>
      <c r="E208" s="42"/>
      <c r="G208" s="14"/>
      <c r="H208" s="50"/>
      <c r="I208" s="14"/>
    </row>
    <row r="209" spans="2:9">
      <c r="E209" s="42"/>
      <c r="G209" s="14"/>
      <c r="H209" s="50"/>
      <c r="I209" s="14"/>
    </row>
    <row r="210" spans="2:9">
      <c r="B210" s="21">
        <v>13000</v>
      </c>
      <c r="C210" s="2"/>
      <c r="D210" s="2" t="s">
        <v>69</v>
      </c>
      <c r="E210" s="42"/>
      <c r="G210" s="14"/>
      <c r="H210" s="50"/>
      <c r="I210" s="14"/>
    </row>
    <row r="211" spans="2:9">
      <c r="B211" s="20"/>
      <c r="E211" s="42"/>
      <c r="G211" s="14"/>
      <c r="H211" s="50"/>
      <c r="I211" s="14"/>
    </row>
    <row r="212" spans="2:9">
      <c r="B212" s="20"/>
      <c r="E212" s="42"/>
      <c r="G212" s="14"/>
      <c r="H212" s="50"/>
      <c r="I212" s="14"/>
    </row>
    <row r="213" spans="2:9">
      <c r="B213" s="20"/>
      <c r="E213" s="42"/>
      <c r="G213" s="14"/>
      <c r="H213" s="50"/>
      <c r="I213" s="14"/>
    </row>
    <row r="214" spans="2:9">
      <c r="B214" s="20"/>
      <c r="E214" s="42"/>
      <c r="G214" s="14"/>
      <c r="H214" s="51"/>
      <c r="I214" s="14"/>
    </row>
    <row r="215" spans="2:9">
      <c r="B215" s="20"/>
      <c r="E215" s="42"/>
      <c r="G215" s="14"/>
      <c r="H215" s="50"/>
      <c r="I215" s="14"/>
    </row>
    <row r="216" spans="2:9">
      <c r="B216" s="20"/>
      <c r="D216" s="2" t="s">
        <v>86</v>
      </c>
      <c r="E216" s="42"/>
      <c r="G216" s="14"/>
      <c r="H216" s="50">
        <f>SUM(H211:H214)</f>
        <v>0</v>
      </c>
      <c r="I216" s="14">
        <f>H216/H9</f>
        <v>0</v>
      </c>
    </row>
    <row r="217" spans="2:9">
      <c r="B217" s="20"/>
      <c r="D217" s="2"/>
      <c r="E217" s="42"/>
      <c r="G217" s="14"/>
      <c r="H217" s="50"/>
      <c r="I217" s="14"/>
    </row>
    <row r="218" spans="2:9">
      <c r="E218" s="42"/>
      <c r="G218" s="14"/>
      <c r="H218" s="50"/>
      <c r="I218" s="14"/>
    </row>
    <row r="219" spans="2:9">
      <c r="B219" s="21">
        <v>14000</v>
      </c>
      <c r="C219" s="2"/>
      <c r="D219" s="2" t="s">
        <v>70</v>
      </c>
      <c r="E219" s="42"/>
      <c r="G219" s="14"/>
      <c r="H219" s="50"/>
      <c r="I219" s="14"/>
    </row>
    <row r="220" spans="2:9">
      <c r="B220" s="20">
        <v>14100</v>
      </c>
      <c r="D220" t="s">
        <v>431</v>
      </c>
      <c r="E220" s="42"/>
      <c r="F220" t="s">
        <v>201</v>
      </c>
      <c r="G220" s="14">
        <v>19000</v>
      </c>
      <c r="H220" s="50">
        <f>E220*G220</f>
        <v>0</v>
      </c>
      <c r="I220" s="14"/>
    </row>
    <row r="221" spans="2:9">
      <c r="B221" s="20">
        <v>14200</v>
      </c>
      <c r="D221" s="1" t="s">
        <v>432</v>
      </c>
      <c r="E221" s="42"/>
      <c r="F221" t="s">
        <v>201</v>
      </c>
      <c r="G221" s="14">
        <v>18500</v>
      </c>
      <c r="H221" s="50">
        <f>E221*G221</f>
        <v>0</v>
      </c>
      <c r="I221" s="14"/>
    </row>
    <row r="222" spans="2:9">
      <c r="B222" s="20">
        <v>14300</v>
      </c>
      <c r="D222" s="1" t="s">
        <v>433</v>
      </c>
      <c r="E222" s="42"/>
      <c r="F222" t="s">
        <v>201</v>
      </c>
      <c r="G222" s="14">
        <v>20000</v>
      </c>
      <c r="H222" s="50">
        <f>E222*G222</f>
        <v>0</v>
      </c>
      <c r="I222" s="14"/>
    </row>
    <row r="223" spans="2:9">
      <c r="B223" s="20">
        <v>14800</v>
      </c>
      <c r="D223" s="1" t="s">
        <v>434</v>
      </c>
      <c r="E223" s="42"/>
      <c r="F223" t="s">
        <v>94</v>
      </c>
      <c r="G223" s="14">
        <v>7500</v>
      </c>
      <c r="H223" s="50">
        <f>E223*G223</f>
        <v>0</v>
      </c>
      <c r="I223" s="14"/>
    </row>
    <row r="224" spans="2:9">
      <c r="B224" s="20"/>
      <c r="D224" s="1"/>
      <c r="E224" s="42"/>
      <c r="G224" s="14"/>
      <c r="H224" s="50"/>
      <c r="I224" s="14"/>
    </row>
    <row r="225" spans="2:9">
      <c r="B225" s="20"/>
      <c r="E225" s="42"/>
      <c r="G225" s="14"/>
      <c r="H225" s="51"/>
      <c r="I225" s="14"/>
    </row>
    <row r="226" spans="2:9">
      <c r="B226" s="20"/>
      <c r="E226" s="42"/>
      <c r="G226" s="14"/>
      <c r="H226" s="50"/>
      <c r="I226" s="14"/>
    </row>
    <row r="227" spans="2:9">
      <c r="B227" s="20"/>
      <c r="D227" s="2" t="s">
        <v>87</v>
      </c>
      <c r="E227" s="42"/>
      <c r="G227" s="14"/>
      <c r="H227" s="50">
        <f>SUM(H220:H225)</f>
        <v>0</v>
      </c>
      <c r="I227" s="14">
        <f>H227/H9</f>
        <v>0</v>
      </c>
    </row>
    <row r="228" spans="2:9">
      <c r="B228" s="20"/>
      <c r="D228" s="2"/>
      <c r="E228" s="42"/>
      <c r="G228" s="14"/>
      <c r="H228" s="50"/>
      <c r="I228" s="14"/>
    </row>
    <row r="229" spans="2:9">
      <c r="E229" s="42"/>
      <c r="G229" s="14"/>
      <c r="H229" s="50"/>
      <c r="I229" s="14"/>
    </row>
    <row r="230" spans="2:9">
      <c r="B230" s="21">
        <v>15000</v>
      </c>
      <c r="C230" s="2"/>
      <c r="D230" s="2" t="s">
        <v>71</v>
      </c>
      <c r="E230" s="42"/>
      <c r="G230" s="14"/>
      <c r="H230" s="50"/>
      <c r="I230" s="14"/>
    </row>
    <row r="231" spans="2:9">
      <c r="B231" s="20">
        <v>15100</v>
      </c>
      <c r="D231" t="s">
        <v>462</v>
      </c>
      <c r="E231" s="42"/>
      <c r="F231" t="s">
        <v>58</v>
      </c>
      <c r="G231" s="14">
        <v>2.85</v>
      </c>
      <c r="H231" s="50">
        <f t="shared" ref="H231:H237" si="5">E231*G231</f>
        <v>0</v>
      </c>
      <c r="I231" s="14"/>
    </row>
    <row r="232" spans="2:9">
      <c r="B232" s="20">
        <v>15300</v>
      </c>
      <c r="D232" s="1" t="s">
        <v>435</v>
      </c>
      <c r="E232" s="42"/>
      <c r="F232" t="s">
        <v>58</v>
      </c>
      <c r="G232" s="14"/>
      <c r="H232" s="50">
        <f t="shared" si="5"/>
        <v>0</v>
      </c>
      <c r="I232" s="14"/>
    </row>
    <row r="233" spans="2:9">
      <c r="B233" s="20">
        <v>15350</v>
      </c>
      <c r="D233" s="1" t="s">
        <v>444</v>
      </c>
      <c r="E233" s="42"/>
      <c r="F233" t="s">
        <v>58</v>
      </c>
      <c r="G233" s="14">
        <v>5.85</v>
      </c>
      <c r="H233" s="50">
        <f t="shared" si="5"/>
        <v>0</v>
      </c>
      <c r="I233" s="14"/>
    </row>
    <row r="234" spans="2:9">
      <c r="B234" s="20">
        <v>15400</v>
      </c>
      <c r="D234" s="1" t="s">
        <v>445</v>
      </c>
      <c r="E234" s="42"/>
      <c r="F234" t="s">
        <v>94</v>
      </c>
      <c r="G234" s="14"/>
      <c r="H234" s="50">
        <f t="shared" si="5"/>
        <v>0</v>
      </c>
      <c r="I234" s="14"/>
    </row>
    <row r="235" spans="2:9">
      <c r="B235" s="20">
        <v>15800</v>
      </c>
      <c r="D235" s="1" t="s">
        <v>436</v>
      </c>
      <c r="E235" s="42"/>
      <c r="F235" t="s">
        <v>58</v>
      </c>
      <c r="G235" s="14"/>
      <c r="H235" s="50">
        <f t="shared" si="5"/>
        <v>0</v>
      </c>
      <c r="I235" s="14"/>
    </row>
    <row r="236" spans="2:9">
      <c r="B236" s="20">
        <v>15850</v>
      </c>
      <c r="D236" s="1" t="s">
        <v>446</v>
      </c>
      <c r="E236" s="42"/>
      <c r="F236" t="s">
        <v>58</v>
      </c>
      <c r="G236" s="14">
        <v>6.85</v>
      </c>
      <c r="H236" s="50">
        <f t="shared" si="5"/>
        <v>0</v>
      </c>
      <c r="I236" s="14"/>
    </row>
    <row r="237" spans="2:9">
      <c r="B237" s="20"/>
      <c r="E237" s="42"/>
      <c r="G237" s="14"/>
      <c r="H237" s="50">
        <f t="shared" si="5"/>
        <v>0</v>
      </c>
      <c r="I237" s="14"/>
    </row>
    <row r="238" spans="2:9">
      <c r="B238" s="20"/>
      <c r="E238" s="42"/>
      <c r="G238" s="14"/>
      <c r="H238" s="50"/>
      <c r="I238" s="14"/>
    </row>
    <row r="239" spans="2:9">
      <c r="B239" s="20"/>
      <c r="E239" s="42"/>
      <c r="G239" s="14"/>
      <c r="H239" s="51"/>
      <c r="I239" s="14"/>
    </row>
    <row r="240" spans="2:9">
      <c r="B240" s="20"/>
      <c r="E240" s="42"/>
      <c r="G240" s="14"/>
      <c r="H240" s="50"/>
      <c r="I240" s="14"/>
    </row>
    <row r="241" spans="2:9">
      <c r="B241" s="20"/>
      <c r="D241" s="2" t="s">
        <v>88</v>
      </c>
      <c r="E241" s="42"/>
      <c r="G241" s="14"/>
      <c r="H241" s="50">
        <f>SUM(H230:H239)</f>
        <v>0</v>
      </c>
      <c r="I241" s="14">
        <f>H241/H9</f>
        <v>0</v>
      </c>
    </row>
    <row r="242" spans="2:9">
      <c r="B242" s="20"/>
      <c r="D242" s="2"/>
      <c r="E242" s="42"/>
      <c r="G242" s="14"/>
      <c r="H242" s="50"/>
      <c r="I242" s="14"/>
    </row>
    <row r="243" spans="2:9">
      <c r="E243" s="42"/>
      <c r="G243" s="14"/>
      <c r="H243" s="50"/>
      <c r="I243" s="14"/>
    </row>
    <row r="244" spans="2:9">
      <c r="B244" s="21">
        <v>16000</v>
      </c>
      <c r="C244" s="2"/>
      <c r="D244" s="2" t="s">
        <v>72</v>
      </c>
      <c r="E244" s="42"/>
      <c r="G244" s="14"/>
      <c r="H244" s="50"/>
      <c r="I244" s="14"/>
    </row>
    <row r="245" spans="2:9">
      <c r="B245" s="28">
        <v>16100</v>
      </c>
      <c r="C245" s="2"/>
      <c r="D245" s="1" t="s">
        <v>441</v>
      </c>
      <c r="E245" s="42"/>
      <c r="F245" t="s">
        <v>58</v>
      </c>
      <c r="G245" s="14">
        <v>4.6500000000000004</v>
      </c>
      <c r="H245" s="50">
        <f t="shared" ref="H245:H251" si="6">E245*G245</f>
        <v>0</v>
      </c>
      <c r="I245" s="14"/>
    </row>
    <row r="246" spans="2:9">
      <c r="B246" s="20">
        <v>16200</v>
      </c>
      <c r="D246" t="s">
        <v>442</v>
      </c>
      <c r="E246" s="42"/>
      <c r="F246" t="s">
        <v>58</v>
      </c>
      <c r="G246" s="14"/>
      <c r="H246" s="50">
        <f t="shared" si="6"/>
        <v>0</v>
      </c>
      <c r="I246" s="14"/>
    </row>
    <row r="247" spans="2:9">
      <c r="B247" s="20">
        <v>16250</v>
      </c>
      <c r="D247" s="1" t="s">
        <v>443</v>
      </c>
      <c r="E247" s="42"/>
      <c r="F247" t="s">
        <v>58</v>
      </c>
      <c r="G247" s="14"/>
      <c r="H247" s="50">
        <f t="shared" si="6"/>
        <v>0</v>
      </c>
      <c r="I247" s="14"/>
    </row>
    <row r="248" spans="2:9">
      <c r="B248" s="20">
        <v>16280</v>
      </c>
      <c r="D248" s="1" t="s">
        <v>437</v>
      </c>
      <c r="E248" s="42"/>
      <c r="F248" t="s">
        <v>94</v>
      </c>
      <c r="G248" s="14"/>
      <c r="H248" s="50">
        <f t="shared" si="6"/>
        <v>0</v>
      </c>
      <c r="I248" s="14"/>
    </row>
    <row r="249" spans="2:9">
      <c r="B249" s="20">
        <v>16300</v>
      </c>
      <c r="D249" s="1" t="s">
        <v>438</v>
      </c>
      <c r="E249" s="42"/>
      <c r="F249" t="s">
        <v>58</v>
      </c>
      <c r="G249" s="14"/>
      <c r="H249" s="50">
        <f t="shared" si="6"/>
        <v>0</v>
      </c>
      <c r="I249" s="14"/>
    </row>
    <row r="250" spans="2:9">
      <c r="B250" s="20">
        <v>16400</v>
      </c>
      <c r="D250" s="1" t="s">
        <v>439</v>
      </c>
      <c r="E250" s="42"/>
      <c r="F250" t="s">
        <v>58</v>
      </c>
      <c r="G250" s="14"/>
      <c r="H250" s="50">
        <f t="shared" si="6"/>
        <v>0</v>
      </c>
      <c r="I250" s="14"/>
    </row>
    <row r="251" spans="2:9">
      <c r="B251" s="20">
        <v>16900</v>
      </c>
      <c r="D251" s="1" t="s">
        <v>145</v>
      </c>
      <c r="E251" s="42"/>
      <c r="F251" t="s">
        <v>94</v>
      </c>
      <c r="G251" s="14"/>
      <c r="H251" s="50">
        <f t="shared" si="6"/>
        <v>0</v>
      </c>
      <c r="I251" s="14"/>
    </row>
    <row r="252" spans="2:9">
      <c r="B252" s="20"/>
      <c r="D252" s="1"/>
      <c r="E252" s="42"/>
      <c r="G252" s="14"/>
      <c r="H252" s="50"/>
      <c r="I252" s="14"/>
    </row>
    <row r="253" spans="2:9">
      <c r="B253" s="20"/>
      <c r="D253" s="1"/>
      <c r="E253" s="42"/>
      <c r="G253" s="14"/>
      <c r="H253" s="50"/>
      <c r="I253" s="14"/>
    </row>
    <row r="254" spans="2:9">
      <c r="B254" s="20"/>
      <c r="E254" s="42"/>
      <c r="G254" s="14"/>
      <c r="H254" s="51"/>
      <c r="I254" s="14"/>
    </row>
    <row r="255" spans="2:9">
      <c r="E255" s="42"/>
      <c r="G255" s="14"/>
      <c r="H255" s="50"/>
      <c r="I255" s="14"/>
    </row>
    <row r="256" spans="2:9">
      <c r="D256" s="2" t="s">
        <v>89</v>
      </c>
      <c r="E256" s="42"/>
      <c r="G256" s="14"/>
      <c r="H256" s="50">
        <f>SUM(H245:H254)</f>
        <v>0</v>
      </c>
      <c r="I256" s="14">
        <f>H256/H9</f>
        <v>0</v>
      </c>
    </row>
    <row r="257" spans="4:9">
      <c r="E257" s="42"/>
      <c r="G257" s="14"/>
      <c r="H257" s="50"/>
      <c r="I257" s="14"/>
    </row>
    <row r="258" spans="4:9">
      <c r="E258" s="42"/>
      <c r="G258" s="14"/>
      <c r="H258" s="50"/>
      <c r="I258" s="14"/>
    </row>
    <row r="259" spans="4:9">
      <c r="E259" s="42"/>
      <c r="G259" s="14"/>
      <c r="H259" s="50"/>
      <c r="I259" s="14"/>
    </row>
    <row r="260" spans="4:9">
      <c r="D260" s="54" t="s">
        <v>151</v>
      </c>
      <c r="E260" s="42"/>
      <c r="G260" s="14"/>
      <c r="H260" s="55">
        <f>SUM(H27+H65+H79+H89+H101+H114+H131+H141+H178+H188+H198+H207+H216+H227+H241+H256)</f>
        <v>0</v>
      </c>
      <c r="I260" s="56">
        <f>H260/H9</f>
        <v>0</v>
      </c>
    </row>
  </sheetData>
  <phoneticPr fontId="0" type="noConversion"/>
  <pageMargins left="0.5" right="0.5" top="1" bottom="1" header="0.5" footer="0.5"/>
  <pageSetup orientation="portrait"/>
  <headerFooter alignWithMargins="0">
    <oddHeader>&amp;L&amp;"Arial,Bold"Conceptual Estimate
GARAGE DETAIL&amp;C&amp;"Californian FB,Bold"&amp;14&amp;UJL Pieretti Construction Co.&amp;R&amp;D</oddHeader>
    <oddFooter>&amp;C&amp;P of &amp;N</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2:G29"/>
  <sheetViews>
    <sheetView zoomScale="125" zoomScaleNormal="125" workbookViewId="0">
      <selection activeCell="C1" sqref="C1"/>
    </sheetView>
  </sheetViews>
  <sheetFormatPr baseColWidth="10" defaultColWidth="8.83203125" defaultRowHeight="13"/>
  <cols>
    <col min="1" max="1" width="8" style="9" customWidth="1"/>
    <col min="2" max="2" width="6.33203125" style="9" customWidth="1"/>
    <col min="3" max="3" width="53.33203125" customWidth="1"/>
    <col min="4" max="4" width="1.6640625" customWidth="1"/>
    <col min="5" max="5" width="18.1640625" style="42" customWidth="1"/>
    <col min="6" max="6" width="8.83203125" style="9" customWidth="1"/>
    <col min="7" max="7" width="35" customWidth="1"/>
  </cols>
  <sheetData>
    <row r="2" spans="1:7">
      <c r="A2" s="29" t="s">
        <v>10</v>
      </c>
      <c r="B2" s="29"/>
      <c r="C2" s="30"/>
      <c r="D2" s="30"/>
      <c r="E2" s="39"/>
      <c r="F2" s="29"/>
      <c r="G2" s="30"/>
    </row>
    <row r="3" spans="1:7" ht="14" thickBot="1">
      <c r="A3" s="31" t="s">
        <v>310</v>
      </c>
      <c r="B3" s="31" t="s">
        <v>206</v>
      </c>
      <c r="C3" s="31" t="s">
        <v>12</v>
      </c>
      <c r="D3" s="40"/>
      <c r="E3" s="41" t="s">
        <v>311</v>
      </c>
      <c r="F3" s="31" t="s">
        <v>13</v>
      </c>
      <c r="G3" s="31" t="s">
        <v>312</v>
      </c>
    </row>
    <row r="4" spans="1:7" ht="14" thickTop="1"/>
    <row r="5" spans="1:7">
      <c r="A5" s="10" t="s">
        <v>313</v>
      </c>
      <c r="C5" s="32" t="s">
        <v>314</v>
      </c>
    </row>
    <row r="6" spans="1:7">
      <c r="C6" t="s">
        <v>315</v>
      </c>
      <c r="F6" s="9" t="s">
        <v>58</v>
      </c>
    </row>
    <row r="7" spans="1:7">
      <c r="C7" t="s">
        <v>316</v>
      </c>
      <c r="F7" s="9" t="s">
        <v>58</v>
      </c>
    </row>
    <row r="8" spans="1:7">
      <c r="C8" t="s">
        <v>317</v>
      </c>
      <c r="F8" s="9" t="s">
        <v>58</v>
      </c>
      <c r="G8" t="s">
        <v>318</v>
      </c>
    </row>
    <row r="9" spans="1:7">
      <c r="C9" t="s">
        <v>319</v>
      </c>
      <c r="F9" s="9" t="s">
        <v>58</v>
      </c>
      <c r="G9" t="s">
        <v>318</v>
      </c>
    </row>
    <row r="10" spans="1:7">
      <c r="C10" t="s">
        <v>320</v>
      </c>
      <c r="F10" s="9" t="s">
        <v>58</v>
      </c>
      <c r="G10" t="s">
        <v>318</v>
      </c>
    </row>
    <row r="11" spans="1:7">
      <c r="C11" t="s">
        <v>321</v>
      </c>
      <c r="E11" s="43"/>
      <c r="F11" s="9" t="s">
        <v>58</v>
      </c>
    </row>
    <row r="12" spans="1:7">
      <c r="C12" s="2" t="s">
        <v>325</v>
      </c>
      <c r="F12" s="9" t="s">
        <v>58</v>
      </c>
    </row>
    <row r="14" spans="1:7">
      <c r="C14" t="s">
        <v>357</v>
      </c>
      <c r="F14" s="9" t="s">
        <v>58</v>
      </c>
    </row>
    <row r="15" spans="1:7">
      <c r="C15" t="s">
        <v>322</v>
      </c>
      <c r="F15" s="9" t="s">
        <v>58</v>
      </c>
    </row>
    <row r="16" spans="1:7">
      <c r="C16" t="s">
        <v>323</v>
      </c>
      <c r="F16" s="9" t="s">
        <v>58</v>
      </c>
    </row>
    <row r="17" spans="3:6">
      <c r="C17" t="s">
        <v>324</v>
      </c>
      <c r="E17" s="43"/>
      <c r="F17" s="9" t="s">
        <v>58</v>
      </c>
    </row>
    <row r="18" spans="3:6">
      <c r="C18" s="2" t="s">
        <v>326</v>
      </c>
      <c r="F18" s="9" t="s">
        <v>58</v>
      </c>
    </row>
    <row r="20" spans="3:6">
      <c r="C20" s="32" t="s">
        <v>328</v>
      </c>
    </row>
    <row r="21" spans="3:6">
      <c r="C21" t="s">
        <v>329</v>
      </c>
      <c r="F21" s="9" t="s">
        <v>58</v>
      </c>
    </row>
    <row r="23" spans="3:6">
      <c r="C23" s="32" t="s">
        <v>351</v>
      </c>
    </row>
    <row r="24" spans="3:6">
      <c r="C24" t="s">
        <v>352</v>
      </c>
      <c r="F24" s="9" t="s">
        <v>347</v>
      </c>
    </row>
    <row r="25" spans="3:6">
      <c r="C25" t="s">
        <v>353</v>
      </c>
      <c r="F25" s="9" t="s">
        <v>347</v>
      </c>
    </row>
    <row r="26" spans="3:6">
      <c r="C26" t="s">
        <v>354</v>
      </c>
      <c r="E26" s="43"/>
      <c r="F26" s="9" t="s">
        <v>347</v>
      </c>
    </row>
    <row r="28" spans="3:6">
      <c r="C28" s="32" t="s">
        <v>355</v>
      </c>
    </row>
    <row r="29" spans="3:6">
      <c r="C29" t="s">
        <v>356</v>
      </c>
    </row>
  </sheetData>
  <phoneticPr fontId="0" type="noConversion"/>
  <pageMargins left="0.75" right="0.75" top="1" bottom="1" header="0.5" footer="0.5"/>
  <pageSetup orientation="portrait"/>
  <headerFooter alignWithMargins="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11</vt:i4>
      </vt:variant>
      <vt:variant>
        <vt:lpstr>Named Ranges</vt:lpstr>
      </vt:variant>
      <vt:variant>
        <vt:i4>2</vt:i4>
      </vt:variant>
    </vt:vector>
  </HeadingPairs>
  <TitlesOfParts>
    <vt:vector size="13" baseType="lpstr">
      <vt:lpstr>Systems Summary</vt:lpstr>
      <vt:lpstr>Building Summary</vt:lpstr>
      <vt:lpstr>Building Detail</vt:lpstr>
      <vt:lpstr>General Conditions</vt:lpstr>
      <vt:lpstr>Off-Site Summary</vt:lpstr>
      <vt:lpstr>Off-Site Detail</vt:lpstr>
      <vt:lpstr>Site Summary</vt:lpstr>
      <vt:lpstr>Site Detail</vt:lpstr>
      <vt:lpstr>Garage Summary</vt:lpstr>
      <vt:lpstr>Garage Detail</vt:lpstr>
      <vt:lpstr>Takeoffs</vt:lpstr>
      <vt:lpstr>'Building Detail'!Print_Area</vt:lpstr>
      <vt:lpstr>'Systems Summary'!Print_Area</vt:lpstr>
    </vt:vector>
  </TitlesOfParts>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Vagish Kapila</dc:creator>
  <cp:lastModifiedBy>Vagish Kapila</cp:lastModifiedBy>
  <cp:lastPrinted>2022-08-14T18:34:51Z</cp:lastPrinted>
  <dcterms:created xsi:type="dcterms:W3CDTF">2003-01-08T18:04:11Z</dcterms:created>
  <dcterms:modified xsi:type="dcterms:W3CDTF">2026-03-12T19:06:55Z</dcterms:modified>
</cp:coreProperties>
</file>